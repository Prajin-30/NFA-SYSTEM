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 sheetId="1" state="visible" r:id="rId3"/>
    <sheet name="Department Budget" sheetId="2" state="visible" r:id="rId4"/>
    <sheet name="Revenue or Earnings" sheetId="3" state="visible" r:id="rId5"/>
    <sheet name="Revenue Expenditures" sheetId="4" state="visible" r:id="rId6"/>
    <sheet name="CAPEX" sheetId="5" state="visible" r:id="rId7"/>
    <sheet name="man power" sheetId="6" state="hidden" r:id="rId8"/>
    <sheet name="Fest and Other Events"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
ID#AAABxlOVmIY
    (2025-12-17 03:40:08)
DO NOT CHANGE THE FORMULA UNLESS NECESSARY. The cell is formula driven, please cross check the values to match with your workings.</t>
        </r>
      </text>
    </comment>
    <comment ref="G6" authorId="0">
      <text>
        <r>
          <rPr>
            <sz val="10"/>
            <rFont val="Arial"/>
            <family val="2"/>
          </rPr>
          <t xml:space="preserve">======
ID#AAABxlOVmI4
    (2025-12-17 03:40:08)
DO NOT CHANGE THE FORMULA UNLESS NECESSARY. The cell is formula driven, please cross check the values to match with your workings.</t>
        </r>
      </text>
    </comment>
    <comment ref="G7" authorId="0">
      <text>
        <r>
          <rPr>
            <sz val="10"/>
            <rFont val="Arial"/>
            <family val="2"/>
          </rPr>
          <t xml:space="preserve">======
ID#AAABxlOVmJY
    (2025-12-17 03:40:08)
DO NOT CHANGE THE FORMULA UNLESS NECESSARY. The cell is formula driven, please cross check the values to match with your workings.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E30" authorId="0">
      <text>
        <r>
          <rPr>
            <sz val="10"/>
            <rFont val="Arial"/>
            <family val="2"/>
          </rPr>
          <t xml:space="preserve">======
ID#AAABxlOVmI8
    (2025-12-17 03:40:08)
DO NOT CHANGE THE FORMULA UNLESS NECESSARY. The cell is formula driven, please re-adjust the formula to capture all values.</t>
        </r>
      </text>
    </comment>
    <comment ref="H30" authorId="0">
      <text>
        <r>
          <rPr>
            <sz val="10"/>
            <rFont val="Arial"/>
            <family val="2"/>
          </rPr>
          <t xml:space="preserve">======
ID#AAABxlOVmJM
    (2025-12-17 03:40:08)
DO NOT CHANGE THE FORMULA UNLESS NECESSARY. The cell is formula driven, please re-adjust the formula to capture all values.</t>
        </r>
      </text>
    </comment>
    <comment ref="I30" authorId="0">
      <text>
        <r>
          <rPr>
            <sz val="10"/>
            <rFont val="Arial"/>
            <family val="2"/>
          </rPr>
          <t xml:space="preserve">======
ID#AAABxlOVmIk
    (2025-12-17 03:40:08)
DO NOT CHANGE THE FORMULA UNLESS NECESSARY. The cell is formula driven, please re-adjust the formula to capture all values.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
ID#AAABxlOVmIg
    (2025-12-17 03:40:08)
This is for Adjunct Faculties taking classes throughout the academic year.</t>
        </r>
      </text>
    </comment>
    <comment ref="B8" authorId="0">
      <text>
        <r>
          <rPr>
            <sz val="10"/>
            <rFont val="Arial"/>
            <family val="2"/>
          </rPr>
          <t xml:space="preserve">======
ID#AAABxlOVmJU
    (2025-12-17 03:40:08)
This is for Faculties called upon to take Guest Lectures.</t>
        </r>
      </text>
    </comment>
    <comment ref="B9" authorId="0">
      <text>
        <r>
          <rPr>
            <sz val="10"/>
            <rFont val="Arial"/>
            <family val="2"/>
          </rPr>
          <t xml:space="preserve">======
ID#AAABxlOVmJA
    (2025-12-17 03:40:08)
This is for Guests called upon to attend Events/ Seminars/ Workshops etc.</t>
        </r>
      </text>
    </comment>
    <comment ref="B32" authorId="0">
      <text>
        <r>
          <rPr>
            <sz val="10"/>
            <rFont val="Arial"/>
            <family val="2"/>
          </rPr>
          <t xml:space="preserve">======
ID#AAABxlOVmIs
    (2025-12-17 03:40:08)
Budget for each Fests/ Seminars/ Workshops/ Events should be budgeted separately. The Budget should include all expenses from Inaugurations until closure of the same.</t>
        </r>
      </text>
    </comment>
    <comment ref="B36" authorId="0">
      <text>
        <r>
          <rPr>
            <sz val="10"/>
            <rFont val="Arial"/>
            <family val="2"/>
          </rPr>
          <t xml:space="preserve">======
ID#AAABxlOVmJg
DALBIR SINGH BABRA OFFICE OF ACCOUNTS    (2025-12-17 03:40:08)
This is expenses for taking students for social sensitisation and not collecting Child Sponsorship. Child Sponsorship is a inflow for the department and should be mentioned in the earnings tab</t>
        </r>
      </text>
    </comment>
    <comment ref="B37" authorId="0">
      <text>
        <r>
          <rPr>
            <sz val="10"/>
            <rFont val="Arial"/>
            <family val="2"/>
          </rPr>
          <t xml:space="preserve">======
ID#AAABxlOVmIo
    (2025-12-17 03:40:08)
In case when external experts are called upon to provide training to students.</t>
        </r>
      </text>
    </comment>
    <comment ref="B39" authorId="0">
      <text>
        <r>
          <rPr>
            <sz val="10"/>
            <rFont val="Arial"/>
            <family val="2"/>
          </rPr>
          <t xml:space="preserve">======
ID#AAABxlOVmIw
    (2025-12-17 03:40:08)
All Inauguration expenses other than for Fests/ Seminars/ Workshops/ Events needs to be budgeted separately.</t>
        </r>
      </text>
    </comment>
    <comment ref="B57" authorId="0">
      <text>
        <r>
          <rPr>
            <sz val="10"/>
            <rFont val="Arial"/>
            <family val="2"/>
          </rPr>
          <t xml:space="preserve">======
ID#AAABxlOVmJE
    (2025-12-17 03:40:08)
Budget for each Meeting should be budgeted separately.</t>
        </r>
      </text>
    </comment>
    <comment ref="B62" authorId="0">
      <text>
        <r>
          <rPr>
            <sz val="10"/>
            <rFont val="Arial"/>
            <family val="2"/>
          </rPr>
          <t xml:space="preserve">======
ID#AAABxlOVmJQ
    (2025-12-17 03:40:08)
In case of a capital equipment/ software purchased/ re quested</t>
        </r>
      </text>
    </comment>
    <comment ref="B65" authorId="0">
      <text>
        <r>
          <rPr>
            <sz val="10"/>
            <rFont val="Arial"/>
            <family val="2"/>
          </rPr>
          <t xml:space="preserve">======
ID#AAABxlOVmJc
DALBIR SINGH BABRA OFFICE OF ACCOUNTS    (2025-12-17 03:40:08)
Since funds received from external projects is mentioned in the earnings tab, the corresponding expenses for such external projects should be mentioned here</t>
        </r>
      </text>
    </comment>
    <comment ref="F72" authorId="0">
      <text>
        <r>
          <rPr>
            <sz val="10"/>
            <rFont val="Arial"/>
            <family val="2"/>
          </rPr>
          <t xml:space="preserve">======
ID#AAABxlOVmIc
    (2025-12-17 03:40:08)
DO NOT CHANGE THE FORMULA UNLESS NECESSARY. The cell is formula driven, please re-adjust the formula to capture all values.</t>
        </r>
      </text>
    </comment>
    <comment ref="J72" authorId="0">
      <text>
        <r>
          <rPr>
            <sz val="10"/>
            <rFont val="Arial"/>
            <family val="2"/>
          </rPr>
          <t xml:space="preserve">======
ID#AAABxlOVmJI
    (2025-12-17 03:40:08)
DO NOT CHANGE THE FORMULA UNLESS NECESSARY. The cell is formula driven, please re-adjust the formula to capture all values.</t>
        </r>
      </text>
    </comment>
    <comment ref="K72" authorId="0">
      <text>
        <r>
          <rPr>
            <sz val="10"/>
            <rFont val="Arial"/>
            <family val="2"/>
          </rPr>
          <t xml:space="preserve">======
ID#AAABxlOVmI0
    (2025-12-17 03:40:08)
DO NOT CHANGE THE FORMULA UNLESS NECESSARY. The cell is formula driven, please re-adjust the formula to capture all values.</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27" authorId="0">
      <text>
        <r>
          <rPr>
            <sz val="10"/>
            <rFont val="Arial"/>
            <family val="2"/>
          </rPr>
          <t xml:space="preserve">======
ID#AAAA30S4UCI
DALBIR SINGH BABRA OFFICE OF ACCOUNTS    (2023-09-05 13:17:15)
DO NOT CHANGE THE FORMULA UNLESS NECESSARY
The cell is formula driven, please re-adjust the formula to capture all values.</t>
        </r>
      </text>
    </comment>
    <comment ref="I27" authorId="0">
      <text>
        <r>
          <rPr>
            <sz val="10"/>
            <rFont val="Arial"/>
            <family val="2"/>
          </rPr>
          <t xml:space="preserve">======
ID#AAAA30S4UBg
DALBIR SINGH BABRA OFFICE OF ACCOUNTS    (2023-09-05 13:17:15)
DO NOT CHANGE THE FORMULA UNLESS NECESSARY
The cell is formula driven, please re-adjust the formula to capture all values.</t>
        </r>
      </text>
    </comment>
    <comment ref="J27" authorId="0">
      <text>
        <r>
          <rPr>
            <sz val="10"/>
            <rFont val="Arial"/>
            <family val="2"/>
          </rPr>
          <t xml:space="preserve">======
ID#AAAA30S4UCM
DALBIR SINGH BABRA OFFICE OF ACCOUNTS    (2023-09-05 13:17:15)
DO NOT CHANGE THE FORMULA UNLESS NECESSARY
The cell is formula driven, please re-adjust the formula to capture all values.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I15" authorId="0">
      <text>
        <r>
          <rPr>
            <sz val="10"/>
            <rFont val="Arial"/>
            <family val="2"/>
          </rPr>
          <t xml:space="preserve">======
ID#AAAA30S4UBI
DALBIR SINGH BABRA OFFICE OF ACCOUNTS    (2023-09-05 13:17:15)
DO NOT CHANGE THE FORMULA UNLESS NECESSARY
The cell is formula driven, please re-adjust the formula to capture all values.</t>
        </r>
      </text>
    </comment>
  </commentList>
</comments>
</file>

<file path=xl/sharedStrings.xml><?xml version="1.0" encoding="utf-8"?>
<sst xmlns="http://schemas.openxmlformats.org/spreadsheetml/2006/main" count="406" uniqueCount="338">
  <si>
    <t xml:space="preserve">Item</t>
  </si>
  <si>
    <t xml:space="preserve">Input</t>
  </si>
  <si>
    <t xml:space="preserve">Academic Year</t>
  </si>
  <si>
    <t xml:space="preserve">2026-27</t>
  </si>
  <si>
    <t xml:space="preserve">DO NOT MAKE ANY CHANGES IN THIS SHEET</t>
  </si>
  <si>
    <t xml:space="preserve">CHRIST (Deemed to be University)</t>
  </si>
  <si>
    <t xml:space="preserve">DEPARTMENT: CSE</t>
  </si>
  <si>
    <t xml:space="preserve">HOD:</t>
  </si>
  <si>
    <t xml:space="preserve">Dr M Balamurugan</t>
  </si>
  <si>
    <t xml:space="preserve">DEAN:</t>
  </si>
  <si>
    <t xml:space="preserve">Dr Raghunandhankumar</t>
  </si>
  <si>
    <t xml:space="preserve">EARNINGS (in Rs.):</t>
  </si>
  <si>
    <t xml:space="preserve">REVENUE EXP (in Rs.):</t>
  </si>
  <si>
    <t xml:space="preserve">CAPITAL EXP (in Rs.):</t>
  </si>
  <si>
    <t xml:space="preserve">TOTAL EARNINGS</t>
  </si>
  <si>
    <t xml:space="preserve">TOTAL EXPENDITURE</t>
  </si>
  <si>
    <t xml:space="preserve">SURPLUS / (DEFICIT)</t>
  </si>
  <si>
    <t xml:space="preserve">DATE:</t>
  </si>
  <si>
    <t xml:space="preserve">HOD</t>
  </si>
  <si>
    <t xml:space="preserve">DEAN</t>
  </si>
  <si>
    <t xml:space="preserve">CFO</t>
  </si>
  <si>
    <t xml:space="preserve">Note:</t>
  </si>
  <si>
    <t xml:space="preserve">1. The above statement is the Consolidated Budget for the department which will indicate Budgeted Income &amp; Expenses.</t>
  </si>
  <si>
    <t xml:space="preserve">2. DO NOT input any values in this worksheet. All inputs should be provided in subsequent worksheets.</t>
  </si>
  <si>
    <t xml:space="preserve">3. As all the values are formula driven, please cross verify the balances appearing above with the corresponding</t>
  </si>
  <si>
    <t xml:space="preserve">    workings to ensure the accuracy of this Budget statement.</t>
  </si>
  <si>
    <t xml:space="preserve">4. Only provide inputs for Department, HOD and Dean above highlighted.</t>
  </si>
  <si>
    <t xml:space="preserve">5. DO NOT merge/delete any worksheets. Each worksheet should be populated individually and the balances from those</t>
  </si>
  <si>
    <t xml:space="preserve">    worksheets will be brought above with the help of formulas set above. Additionally, no formulas should be added.</t>
  </si>
  <si>
    <t xml:space="preserve">6. In case if any particular worksheet is not applicable or we do not have either revenue and/or expenses, DO NOT</t>
  </si>
  <si>
    <t xml:space="preserve">    delete the respective worksheet, please leave the respective worksheet as blank.</t>
  </si>
  <si>
    <t xml:space="preserve">DEPARTMENT:</t>
  </si>
  <si>
    <t xml:space="preserve">Computer Science and Engineering</t>
  </si>
  <si>
    <t xml:space="preserve">DEAN: Dr Raghunandhankumar </t>
  </si>
  <si>
    <t xml:space="preserve">SL NO.</t>
  </si>
  <si>
    <t xml:space="preserve">EARNINGS</t>
  </si>
  <si>
    <t xml:space="preserve">Comments</t>
  </si>
  <si>
    <t xml:space="preserve">SOURCE</t>
  </si>
  <si>
    <t xml:space="preserve">AMOUNT</t>
  </si>
  <si>
    <t xml:space="preserve">BASIS OF BUDGET
(Refer Note 2)</t>
  </si>
  <si>
    <t xml:space="preserve">PREVIOUS YEAR</t>
  </si>
  <si>
    <t xml:space="preserve">BUDGET</t>
  </si>
  <si>
    <t xml:space="preserve">ACTUAL</t>
  </si>
  <si>
    <t xml:space="preserve">External Projects</t>
  </si>
  <si>
    <t xml:space="preserve">This is the total funds sanctioned from external agencies to all the faculties of the department.</t>
  </si>
  <si>
    <t xml:space="preserve">Through funding Agencies such as DST, DBT, AICTE etc</t>
  </si>
  <si>
    <t xml:space="preserve">Department has applied 15 projects to various external funding agencies and awaiting for the results</t>
  </si>
  <si>
    <t xml:space="preserve">Consultancy</t>
  </si>
  <si>
    <t xml:space="preserve">This is the amount estimated to be earned through consulatncy projects</t>
  </si>
  <si>
    <t xml:space="preserve">Through industrial consultancy projects</t>
  </si>
  <si>
    <t xml:space="preserve">1 Consultancy project has been processed and sanctioned</t>
  </si>
  <si>
    <t xml:space="preserve">(mention separately)</t>
  </si>
  <si>
    <t xml:space="preserve">Training</t>
  </si>
  <si>
    <t xml:space="preserve">This is the amount estimated to be earned through conduct of various training programmes</t>
  </si>
  <si>
    <t xml:space="preserve">Registration Fees</t>
  </si>
  <si>
    <t xml:space="preserve">Fests</t>
  </si>
  <si>
    <t xml:space="preserve">This is total income earned through various fest of the department. Kindly mention the income earned from fest separately. Example: If the department/ Centre has 7 events, then there should be 7 rows and each row the respective event income has to be mentioned and the budget for that event has to be mentioned separately.</t>
  </si>
  <si>
    <t xml:space="preserve">(mention separately, if more than one)</t>
  </si>
  <si>
    <t xml:space="preserve">Departments have to price the registration fee which covers the cost of providing Kits, Lunch and Snacks at the minimum. This should be the minimum fee and department is free to charge more.</t>
  </si>
  <si>
    <t xml:space="preserve">Department have to ensure that for internal fests and events, atleast 50% of the cost of the fest and event has to be raised through Sponsorships. In case of extenral events, workshops, seminars etc, the event has to be 100% sourced through Sponsoships.</t>
  </si>
  <si>
    <t xml:space="preserve">Sponsorships</t>
  </si>
  <si>
    <t xml:space="preserve">Others</t>
  </si>
  <si>
    <t xml:space="preserve">Seminars / Workshops / Conference / Events</t>
  </si>
  <si>
    <t xml:space="preserve">This is the amount estimated to be earned through conduct of various Seminars/ Workshops/Conference/ Events</t>
  </si>
  <si>
    <t xml:space="preserve">International Conference</t>
  </si>
  <si>
    <t xml:space="preserve">FDPs</t>
  </si>
  <si>
    <t xml:space="preserve">Workshops</t>
  </si>
  <si>
    <t xml:space="preserve">Value Added Courses / Specialisations</t>
  </si>
  <si>
    <t xml:space="preserve">This is the amount estimated to be earned through conduct of various value added courses</t>
  </si>
  <si>
    <t xml:space="preserve">Certifications Courses (no of courses and no of students will be decided once department gets input from students), As of now, approximately 10 courses can be offered to 150 stduents @ the cost of Rs 1000 each student</t>
  </si>
  <si>
    <t xml:space="preserve">Child Sponsorships</t>
  </si>
  <si>
    <t xml:space="preserve">This is the amount that the department is set to raise as Child Sponsorship from students. Kindly note that this should be collected from students who are ready to contribute to the cause. It should not be made mandatory to all students.
(No. of students in the department X Rs. 500)</t>
  </si>
  <si>
    <t xml:space="preserve">Approx 500 x 500</t>
  </si>
  <si>
    <t xml:space="preserve">Gold Medal Sponsorship</t>
  </si>
  <si>
    <t xml:space="preserve">Departments are encouraged to provide students with gold medals for their outstanding academic performances. Kindly note that these gold medals will be full sourced from sponsorships raised by the departments from external organisations or individuals.</t>
  </si>
  <si>
    <t xml:space="preserve">Honors Course</t>
  </si>
  <si>
    <t xml:space="preserve">Department is offering honors courses in Cyber Security &amp; Quantum Computing domains.
2nd Year : 130 x 4000 = 520000
3rd Year : 130 x 4000 = 520000
3rd Year : 100 x 4000 = 400000 (Cyber Security Project)</t>
  </si>
  <si>
    <t xml:space="preserve">1. In case of multiple Fests/Seminars/Workshops/Conferences/Events/Value Added Courses or Specialisation, please ensure that</t>
  </si>
  <si>
    <t xml:space="preserve">    each Fest/Seminar/Workshop etc is given above separately by adding additional lines under the respective categories.</t>
  </si>
  <si>
    <t xml:space="preserve">2. Provide a brief about the underline assumption used for the respective Budget number. (For example: In case any revenue is already</t>
  </si>
  <si>
    <t xml:space="preserve">    agreed either through no of registrations or fixed revenue agreed to be received, please mention "No. of Registrations" or "Fixed</t>
  </si>
  <si>
    <t xml:space="preserve">    Revenue agreed" respectively under Basis of Budget.)</t>
  </si>
  <si>
    <t xml:space="preserve">3. In case a particular category has multiple revenue and/or expenses, please prepare a separate worksheet and link the revenue total from</t>
  </si>
  <si>
    <t xml:space="preserve">    the worksheet above.</t>
  </si>
  <si>
    <t xml:space="preserve">4. The earnings mentioned above should be matching with the "Fests and Other Events" worksheet that is created for each such category.</t>
  </si>
  <si>
    <t xml:space="preserve">5. The cells highlighted in Orange are SUM formulas. Please check the accuracy of such totals after completing the working. Ensure that </t>
  </si>
  <si>
    <t xml:space="preserve">    the total computed in those cells are capturing the entire total and is 100% complete and accurate.</t>
  </si>
  <si>
    <t xml:space="preserve">6. In case where this worksheet is not applicable or the department does not have any revenue/earnings, DO NOT delete this worksheet.</t>
  </si>
  <si>
    <t xml:space="preserve">    Leave this worksheet as blank.</t>
  </si>
  <si>
    <t xml:space="preserve">REVENUE EXP: ITEMS</t>
  </si>
  <si>
    <t xml:space="preserve"> QTY.
(Nos./hrs)
</t>
  </si>
  <si>
    <t xml:space="preserve">RATE
(per unit/per hour)</t>
  </si>
  <si>
    <t xml:space="preserve">AMOUNT BUDGETED (INLC. OF GST)</t>
  </si>
  <si>
    <t xml:space="preserve">JUSTIFICATION OF NEED*</t>
  </si>
  <si>
    <t xml:space="preserve">BASIS OF BUDGET
(Refer note 1)</t>
  </si>
  <si>
    <t xml:space="preserve">External Remuneration</t>
  </si>
  <si>
    <t xml:space="preserve">Adjunct Faculty Honorarium (Refer note 2)</t>
  </si>
  <si>
    <t xml:space="preserve">No of hours per faculty per subject X No. of subjects X No. of faculties X No. of Semester/Trimester X Per houre rate</t>
  </si>
  <si>
    <t xml:space="preserve">65000 / Month</t>
  </si>
  <si>
    <t xml:space="preserve">Guest Lectures</t>
  </si>
  <si>
    <t xml:space="preserve">No of hours per guest per subject X No. of guest lectures X No. of guest X No. of Semester/Trimester X Per houre rate</t>
  </si>
  <si>
    <t xml:space="preserve">For Delivering Expert Sessions</t>
  </si>
  <si>
    <t xml:space="preserve">based on the remuneration guidelines given by university</t>
  </si>
  <si>
    <t xml:space="preserve">Guest Relation</t>
  </si>
  <si>
    <t xml:space="preserve">No of hours per guest per event X No. of guest events X No. of guest X No. of Semester/Trimester X Per houre rate</t>
  </si>
  <si>
    <t xml:space="preserve">Remenuration to Contract Employees</t>
  </si>
  <si>
    <t xml:space="preserve">Amount payable for the entire year for 1 person X No. of contract staff</t>
  </si>
  <si>
    <t xml:space="preserve">Remenuration to Interns</t>
  </si>
  <si>
    <t xml:space="preserve">Amount payable for the entire year for 1 person X No. of interns</t>
  </si>
  <si>
    <t xml:space="preserve">Remenuration to Consultants</t>
  </si>
  <si>
    <t xml:space="preserve">Amount payable for the entire year for 1 person X No. of Consultants</t>
  </si>
  <si>
    <t xml:space="preserve">2 Persons</t>
  </si>
  <si>
    <t xml:space="preserve">2000 / student</t>
  </si>
  <si>
    <t xml:space="preserve">to handle honors course with industry exposure 
Approx 200 x 2000x4</t>
  </si>
  <si>
    <t xml:space="preserve">Project Viva</t>
  </si>
  <si>
    <t xml:space="preserve">15 Faculty Members as External Examiners from other Institutions (approx Rs 5000 / faculty)</t>
  </si>
  <si>
    <t xml:space="preserve">Professor in Practice</t>
  </si>
  <si>
    <t xml:space="preserve">Staff Development &amp; Welfare</t>
  </si>
  <si>
    <t xml:space="preserve">Faculty Development Programme</t>
  </si>
  <si>
    <t xml:space="preserve">No. of faculties to be sent for FDP X Amount to be spent per FDP (Average)</t>
  </si>
  <si>
    <t xml:space="preserve">Price is equivalent to market value</t>
  </si>
  <si>
    <t xml:space="preserve">Seminar</t>
  </si>
  <si>
    <t xml:space="preserve">No. of faculties to be sent for Seminars X Amount to be spent per Seminar (Average)</t>
  </si>
  <si>
    <t xml:space="preserve">No. of faculties to be sent for Workshops X Amount to be spent per Workshop (Average)</t>
  </si>
  <si>
    <t xml:space="preserve">Conference</t>
  </si>
  <si>
    <t xml:space="preserve">No. of faculties to be sent for Conference X Amount to be spent per Conference (Average)</t>
  </si>
  <si>
    <t xml:space="preserve">As per university guidelines</t>
  </si>
  <si>
    <t xml:space="preserve">Membership Reimbursement</t>
  </si>
  <si>
    <t xml:space="preserve">No. of faculties in the department X Rs. 5,000</t>
  </si>
  <si>
    <t xml:space="preserve">Travel &amp; Conveyance - Conveyance</t>
  </si>
  <si>
    <t xml:space="preserve">No. of faculties who will be travelling via cabs, autos, metro etc X Amount of Conveyance</t>
  </si>
  <si>
    <t xml:space="preserve">40 faculty Members @ Rs 10000 for Industry Visits to Lab setup / Field Visit / Best Practice Visits 
</t>
  </si>
  <si>
    <t xml:space="preserve">Travel &amp; Conveyance - Domestic Travel</t>
  </si>
  <si>
    <t xml:space="preserve">No. of faculties travelling Domestic via bus, train, flights X No. of trip (both ways) X Cost per trip </t>
  </si>
  <si>
    <t xml:space="preserve">20 Faculty Members @Rs 10000</t>
  </si>
  <si>
    <t xml:space="preserve">Travel &amp; Conveyance - International Travel</t>
  </si>
  <si>
    <t xml:space="preserve">No. of faculties travelling Internation via flights X No. of trip (both ways) X Cost per trip </t>
  </si>
  <si>
    <t xml:space="preserve">For International Visits : 5 Faculty Members x Rs.2,00,000</t>
  </si>
  <si>
    <t xml:space="preserve">Faculty Training in Industry</t>
  </si>
  <si>
    <t xml:space="preserve">44 Faculty Members x Rs.7000 as Training Cost</t>
  </si>
  <si>
    <t xml:space="preserve">Out Bound Training</t>
  </si>
  <si>
    <t xml:space="preserve">44 Faculty Members x  Rs.4,500</t>
  </si>
  <si>
    <t xml:space="preserve">Remuneration for Instructors for conducting Certification Courses</t>
  </si>
  <si>
    <t xml:space="preserve">06 Faculty Members x Rs.25000 (handling course for Full year) Approx</t>
  </si>
  <si>
    <t xml:space="preserve">Student Related Expenses</t>
  </si>
  <si>
    <t xml:space="preserve">Fests/Seminars / Workshops / Events  #(Specify) (Refer note 3)</t>
  </si>
  <si>
    <t xml:space="preserve">Each Fest/ Seminar/ Workshop or any other Event has to be separately budgeted considering the various activities under each of them. Each Fest, Seminar, Workshop and other event has to be mentioned separately. Example: If the department/ Centre has 7 events, then there should be 7 rows and each row the respective event has to be mentioned and the budget for that event has to be mentioned separately.</t>
  </si>
  <si>
    <t xml:space="preserve">(mention separately the list of Fests/ Seminars/ Workshops/ Events, if it is more than one)</t>
  </si>
  <si>
    <t xml:space="preserve">Fee Concession</t>
  </si>
  <si>
    <t xml:space="preserve">This will be a total of the following:
- Identify 2 (two) students to be given full fee concessions per course X No of courses in the department X Fee for the year
- Identify 3 (three) students to be give part fee concessions percourse X No of courses in the department  X 50% X Fee for the year</t>
  </si>
  <si>
    <t xml:space="preserve">2 Students x 4 Courses x 300000
3 Students x 4 Courses x 150000</t>
  </si>
  <si>
    <t xml:space="preserve">Scholarships</t>
  </si>
  <si>
    <t xml:space="preserve">This will be a total of the following:
- Identify 2 (two) students to be given full scholarship per course X No of courses in the department X Fee for the year for the respective courses
- Identify 3 (three) students to be give part scholarship per course X No of courses in the department  X 50% X Fee for the year for the respective courses</t>
  </si>
  <si>
    <t xml:space="preserve">Contribution for Social Cause (Student Sensitization)</t>
  </si>
  <si>
    <t xml:space="preserve">This pertains to the amount which will be spent for taking students for social sentisation to various sites</t>
  </si>
  <si>
    <t xml:space="preserve">Charges for Training students
Placement Training for 2nd year &amp; 3 rd Year students</t>
  </si>
  <si>
    <t xml:space="preserve">This pertains to the various external trainings which will be given to students. A separate list of all such trainings have to be provided along with the budget for each training</t>
  </si>
  <si>
    <t xml:space="preserve">For Placement Training based on the agreeement with vendor</t>
  </si>
  <si>
    <t xml:space="preserve">(mention separately the list of training to students, if it is more than one)</t>
  </si>
  <si>
    <t xml:space="preserve">Inauguration Expenses</t>
  </si>
  <si>
    <t xml:space="preserve">In case the department is having any inauguration for any course, labs, clubs, cells etcs, the total expense on inauguration has to be budget.
(No. of inaugurations planned X Amount spent per inauguration)</t>
  </si>
  <si>
    <t xml:space="preserve">Inauguration of ASCII Inauguration</t>
  </si>
  <si>
    <t xml:space="preserve">(mention separately the list of inauguration planned, if it is more than one)</t>
  </si>
  <si>
    <t xml:space="preserve">Exhibitions</t>
  </si>
  <si>
    <t xml:space="preserve">If the department is conducting various exhibitions then amount shoulod be budgeted for the same.
(No. of exhibitions planned X Amount spent per exhibition)</t>
  </si>
  <si>
    <t xml:space="preserve">1 Project Exhibition &amp; 1 Hackathon</t>
  </si>
  <si>
    <t xml:space="preserve">(mention separately the list of exhibitions planned, if it is more than one)</t>
  </si>
  <si>
    <t xml:space="preserve">Expenses for the Clubs / Cells</t>
  </si>
  <si>
    <t xml:space="preserve">Each club and cells has to be mentioned separately and budgeted for that.</t>
  </si>
  <si>
    <t xml:space="preserve">Included in Sl. No 15</t>
  </si>
  <si>
    <t xml:space="preserve">Gold Medals to students</t>
  </si>
  <si>
    <t xml:space="preserve">Registration Fee and Travel for external fests and events</t>
  </si>
  <si>
    <t xml:space="preserve">If students are attending external fests and events representing the University, then registration fee will be fully reimbursed along with one way train ticket. Department is required to budget the expenditure.
(No. of external fests/events X No. of students X Cost per student of Registration fee and one-way train ticket)</t>
  </si>
  <si>
    <t xml:space="preserve">Approx 100 students x 2 Events x 5000 inlcuding Registration Fee and One way train fare</t>
  </si>
  <si>
    <t xml:space="preserve">Student project Development </t>
  </si>
  <si>
    <t xml:space="preserve">Students Research Internship </t>
  </si>
  <si>
    <t xml:space="preserve">Students Researcch promotion scheme. </t>
  </si>
  <si>
    <t xml:space="preserve">Server Infrastructure Plan for ERP System</t>
  </si>
  <si>
    <t xml:space="preserve">Centralized server infrastructure for the School of Engineering ERP system, covering hardware, storage, power backup, networking, and backup solution for student attendance, marks, and records management.</t>
  </si>
  <si>
    <t xml:space="preserve">Estimated based on vendor market quotations; benefits all 2,000+ students and faculty across 8 departments</t>
  </si>
  <si>
    <t xml:space="preserve">Administrative Expenses</t>
  </si>
  <si>
    <t xml:space="preserve">Membership &amp; Registration Fee for external agencies</t>
  </si>
  <si>
    <t xml:space="preserve">In case faculties are sent to external events, registration fee reimbursement for the same. 
(No. of events attended by faculties X Amount to be reimbursed per event)</t>
  </si>
  <si>
    <t xml:space="preserve">40 Faculty x 5000</t>
  </si>
  <si>
    <t xml:space="preserve">Postage, Stamps &amp; Couriers</t>
  </si>
  <si>
    <t xml:space="preserve">Budget for postage, stamps and courier (in any). Actuals of previous year can be taken and a 10-15% increase can be considered if the postage, stamps and couriers is expected to be same as last year.</t>
  </si>
  <si>
    <t xml:space="preserve">Printing</t>
  </si>
  <si>
    <t xml:space="preserve">Printings for the department activities or any other printing requirements.</t>
  </si>
  <si>
    <t xml:space="preserve">Mentoring Books, NewsLetters, Magzines etc</t>
  </si>
  <si>
    <t xml:space="preserve">Photocopying &amp; Binding</t>
  </si>
  <si>
    <t xml:space="preserve">Photocopying &amp; binding for the department activities</t>
  </si>
  <si>
    <t xml:space="preserve">For NBA, IQAC and NAAC</t>
  </si>
  <si>
    <t xml:space="preserve">Stationery (Paper, pens, writing pads etc.)</t>
  </si>
  <si>
    <t xml:space="preserve">Stationaries required for the department</t>
  </si>
  <si>
    <t xml:space="preserve">For NBA, IQAC and NAAC, OBT, BOS etc</t>
  </si>
  <si>
    <t xml:space="preserve">Meeting Expenses (Specify meeting) Department expense (Refer note 3)</t>
  </si>
  <si>
    <t xml:space="preserve">No. of Department/Academic Meetings to be conducted X Cost of refreshments per meeting</t>
  </si>
  <si>
    <t xml:space="preserve">(mention separately the list of Department/ Academic meetings planned)</t>
  </si>
  <si>
    <t xml:space="preserve">No of Department Meetings  : 50 Meetings Expenses / Meeting : 2500  -- 125000
BoS Meeting : 1 Expenses : 25000
DAC Meeting: 2 Nos Meeting Expenses : 30000 / Meeting - 60000</t>
  </si>
  <si>
    <t xml:space="preserve">For Departement Meeting, BoS and DAC Meeting</t>
  </si>
  <si>
    <t xml:space="preserve">Refreshments to Guests</t>
  </si>
  <si>
    <t xml:space="preserve">No. of guests tentative to be hosted X Cost of refreshments per guest</t>
  </si>
  <si>
    <t xml:space="preserve"> </t>
  </si>
  <si>
    <t xml:space="preserve">Annual Maintenance Charges</t>
  </si>
  <si>
    <t xml:space="preserve">This will be the AMC for the various equipments of the department except IT assets. AMC for IT assets will be budgeted by the Office of IT Services.</t>
  </si>
  <si>
    <t xml:space="preserve">(mention separately the list of AMC, if it is more than one)</t>
  </si>
  <si>
    <t xml:space="preserve">Lab Maintenance</t>
  </si>
  <si>
    <t xml:space="preserve">Amount needed for maintenance of Lab (if any)</t>
  </si>
  <si>
    <t xml:space="preserve">External Project Pass through expenses</t>
  </si>
  <si>
    <t xml:space="preserve">This will be a pass through cost. This will be the same amount as the amount mentioned as funding received from External Projects</t>
  </si>
  <si>
    <t xml:space="preserve">Internal Projects (Seed Money)</t>
  </si>
  <si>
    <t xml:space="preserve">This is the targeted amount to be spent by the faculties of the department on Seed money projects.</t>
  </si>
  <si>
    <t xml:space="preserve">Academic renewals</t>
  </si>
  <si>
    <t xml:space="preserve">If the department have renewals for accreditation like AICTE/AIMA etc upcoming in the Academic year. Each accreditation has to be budgeted separately.</t>
  </si>
  <si>
    <t xml:space="preserve">Membership Renewals
ICT Academy
CISCO </t>
  </si>
  <si>
    <t xml:space="preserve">(mention separately the list of accreditation budgeted, if it is more than one)</t>
  </si>
  <si>
    <t xml:space="preserve">Rankings related</t>
  </si>
  <si>
    <t xml:space="preserve">If departments have expenses related to rankings like NIRF, NBA, AACSB etc. Budget for each of them to be done separtely.</t>
  </si>
  <si>
    <t xml:space="preserve">2 Programs</t>
  </si>
  <si>
    <t xml:space="preserve">(mention separately the list of ranking expenses budgeted, if it is more than one)</t>
  </si>
  <si>
    <t xml:space="preserve">TOTAL REVENUE EXPENSES</t>
  </si>
  <si>
    <t xml:space="preserve">1. Provide a brief about the underline assumption used for the respective Budget number. (For example: In case where the expense is already negotiated</t>
  </si>
  <si>
    <t xml:space="preserve">    with the Vendor, please mention "Price negotiated with the Vendor" or in case where expense is estimated using market value of similar items,</t>
  </si>
  <si>
    <t xml:space="preserve">    please mention "Price is equivalent to Market Value" and so on under Basis of Budget)</t>
  </si>
  <si>
    <t xml:space="preserve">2. Guest Faculty Honorarium must be as per Man Power Budget.</t>
  </si>
  <si>
    <t xml:space="preserve">3. Budget should be shown separately for EACH FEST, SEMINAR, WORKSHOP, EVENT &amp; MEETING under separate worksheets. The total of all the</t>
  </si>
  <si>
    <t xml:space="preserve">    expenses from the separate worksheet should be linked above.</t>
  </si>
  <si>
    <t xml:space="preserve">4. Mention all items not falling under any previous category like Lab Consumables, Accreditation, Industrial Visit etc.</t>
  </si>
  <si>
    <t xml:space="preserve">5. GST should also be included &amp; considered in the Budget expense numbers above. In case of confusion on the rates applicable, refer the below link</t>
  </si>
  <si>
    <t xml:space="preserve">https://cbic-gst.gov.in/gst-goods-services-rates.html</t>
  </si>
  <si>
    <t xml:space="preserve">6. The cells highlighted in Orange are SUM formulas. Please check the accuracy of such totals after completing the working. Ensure that the total computed</t>
  </si>
  <si>
    <t xml:space="preserve">     in those cells are capturing the entire total and is 100% complete and accurate.</t>
  </si>
  <si>
    <t xml:space="preserve">7. In case where this worksheet is not applicable or the department does not have any revenue expenditure, DO NOT delete this worksheet.</t>
  </si>
  <si>
    <t xml:space="preserve">8. Any deviation in the Budget needs to be approved by the Finance Commitee</t>
  </si>
  <si>
    <t xml:space="preserve">DEPARTMENT: Computer Science and Engineering</t>
  </si>
  <si>
    <t xml:space="preserve">DEAN: Dr Raghunandhankumar</t>
  </si>
  <si>
    <t xml:space="preserve">CAPEX: ITEMS @ (BUDGET)</t>
  </si>
  <si>
    <t xml:space="preserve">QTY</t>
  </si>
  <si>
    <t xml:space="preserve">APPROX. COST (INC. OF GST)</t>
  </si>
  <si>
    <t xml:space="preserve">EXISTING STOCK</t>
  </si>
  <si>
    <t xml:space="preserve">Canva Team Subscription</t>
  </si>
  <si>
    <t xml:space="preserve">05 GPU Computers (( Computer System i7 14th Gen 8471
PROCESSOR
GIGABYTE MOTHERBOARD B760MH
DDR5
ZOTAK RTX5060 8GB GRAPHICS
CARD
1TB NVME SSD CRUCIAL
32GB DDR5 G SKILL 5200MHZ RAM
LOGITECH MK200 K/B+ MOUSE
COOLER MASTER CABINET 310C
COOLER MASTER 550WATTS SMPS
LG 24'' MONITOR 24MR400 )</t>
  </si>
  <si>
    <t xml:space="preserve">To Support for Research Activities </t>
  </si>
  <si>
    <t xml:space="preserve">Cyber Security Lab Computers 
( Computer System i7 14th Gen 8471
PROCESSOR
GIGABYTE MOTHERBOARD B760MH
DDR5
ZOTAK RTX 4 series 4GB GRAPHICS
CARD
480 NVME SSD CRUCIAL
32GB DDR5 G SKILL 5200MHZ RAM
LOGITECH MK200 K/B+ MOUSE
COOLER MASTER CABINET 310C
COOLER MASTER 550WATTS SMPS
LG 24'' MONITOR 24MR400 )</t>
  </si>
  <si>
    <t xml:space="preserve">Establishing Lab for newly introduced programme</t>
  </si>
  <si>
    <t xml:space="preserve">100 users subscription  - Firewall (any company)
.</t>
  </si>
  <si>
    <t xml:space="preserve">DELL VM Server  _ Dell PowerEdge R550 Rack Server.</t>
  </si>
  <si>
    <t xml:space="preserve">Cyber Security Lab Furnuiters &amp; Networking Components</t>
  </si>
  <si>
    <t xml:space="preserve">Microsoft Purview DLP - Cloud EndPoint Security +  Security Onion -  NDR + SIEM + IDS.</t>
  </si>
  <si>
    <t xml:space="preserve">Encase Forensics Suit</t>
  </si>
  <si>
    <t xml:space="preserve">IOT Lab Components</t>
  </si>
  <si>
    <t xml:space="preserve">Quadcopter - assembly</t>
  </si>
  <si>
    <t xml:space="preserve">Humanoid bot</t>
  </si>
  <si>
    <t xml:space="preserve">RFID NFC Reader Writer USB ER302 SDK Software E Reader V6.0 &amp; RFID card (pack of 25)</t>
  </si>
  <si>
    <t xml:space="preserve">C-DAC IOT Controller Module</t>
  </si>
  <si>
    <t xml:space="preserve">IOT Academic Lab Components &amp; Sensors</t>
  </si>
  <si>
    <t xml:space="preserve">Advantech - Think Alive Industry Oriented Lab Components</t>
  </si>
  <si>
    <t xml:space="preserve">TOTAL CAPEX</t>
  </si>
  <si>
    <t xml:space="preserve">2. Items which are in the nature of capital/investment where the usage is for period(s) more than a year should be mentioned above.</t>
  </si>
  <si>
    <t xml:space="preserve">3. In case of additional items, add additional lines as needed.</t>
  </si>
  <si>
    <t xml:space="preserve">4. The cells highlighted in Orange are SUM formulas. Please check the accuracy of such totals after completing the working. Ensure that the total computed</t>
  </si>
  <si>
    <t xml:space="preserve">5. In case where this worksheet is not applicable or the department does not have any capital expenditure, DO NOT delete this worksheet.</t>
  </si>
  <si>
    <t xml:space="preserve">6. GST should also be included &amp; considered in the Budget expense numbers above. In case of confusion on the rates applicable, refer the below link</t>
  </si>
  <si>
    <t xml:space="preserve">7. This budget must be submitted to the CHIEF FINANCE OFFICER / ASSITANT FINANCE OFFICER by 31.12.2023 , duly recommended by the DEAN / Directors</t>
  </si>
  <si>
    <t xml:space="preserve">Christ University, Bangalore</t>
  </si>
  <si>
    <t xml:space="preserve">Departmental workload statement for the year 2015-2016</t>
  </si>
  <si>
    <t xml:space="preserve">Department:                                                       </t>
  </si>
  <si>
    <t xml:space="preserve">Semester: Odd /Even:</t>
  </si>
  <si>
    <t xml:space="preserve">Course/Paper</t>
  </si>
  <si>
    <t xml:space="preserve">No. of Students</t>
  </si>
  <si>
    <t xml:space="preserve">Theory workload</t>
  </si>
  <si>
    <t xml:space="preserve">Practical workload</t>
  </si>
  <si>
    <t xml:space="preserve">Any Other (Specify)</t>
  </si>
  <si>
    <t xml:space="preserve">Total Hrs/Wk</t>
  </si>
  <si>
    <t xml:space="preserve">Remarks (if any)</t>
  </si>
  <si>
    <t xml:space="preserve">Batches</t>
  </si>
  <si>
    <t xml:space="preserve">Hours</t>
  </si>
  <si>
    <t xml:space="preserve">Total</t>
  </si>
  <si>
    <t xml:space="preserve">S×P×H=</t>
  </si>
  <si>
    <t xml:space="preserve">B×H×T=</t>
  </si>
  <si>
    <t xml:space="preserve">                                                                                                     Total</t>
  </si>
  <si>
    <t xml:space="preserve">No. of sections´No. of papers ´ No. of hours = Total theory workload</t>
  </si>
  <si>
    <t xml:space="preserve">No. of batches´No. of hours ´ No. of teachers = Total practical workload (2 practicals = 1 Theory)</t>
  </si>
  <si>
    <t xml:space="preserve">Submit the odd and even semester workload separately, if it affects the man power requirements.</t>
  </si>
  <si>
    <t xml:space="preserve">Position</t>
  </si>
  <si>
    <t xml:space="preserve">No. of Positions</t>
  </si>
  <si>
    <t xml:space="preserve">No. of Personnel</t>
  </si>
  <si>
    <t xml:space="preserve">Approved</t>
  </si>
  <si>
    <t xml:space="preserve">New</t>
  </si>
  <si>
    <t xml:space="preserve">Total*</t>
  </si>
  <si>
    <t xml:space="preserve">Existing</t>
  </si>
  <si>
    <t xml:space="preserve">Required</t>
  </si>
  <si>
    <t xml:space="preserve">Remarks/ Reason</t>
  </si>
  <si>
    <t xml:space="preserve">Teaching (Regular)</t>
  </si>
  <si>
    <t xml:space="preserve">Teaching (Guest)</t>
  </si>
  <si>
    <t xml:space="preserve">Admin. Staff</t>
  </si>
  <si>
    <t xml:space="preserve">Support Staff</t>
  </si>
  <si>
    <t xml:space="preserve">*Approved + New = Total = existing + Required</t>
  </si>
  <si>
    <t xml:space="preserve">Signature of the Head of the Department/Center:</t>
  </si>
  <si>
    <t xml:space="preserve">Recommendation of the Dean/director: </t>
  </si>
  <si>
    <t xml:space="preserve">Signature: </t>
  </si>
  <si>
    <t xml:space="preserve">Remarks by Personnel Officer: </t>
  </si>
  <si>
    <t xml:space="preserve">Approval by CFO:</t>
  </si>
  <si>
    <t xml:space="preserve">FEST/ SEMINARS, WORKSHOPS, EVENTS &amp; MEETINGS</t>
  </si>
  <si>
    <t xml:space="preserve">Department</t>
  </si>
  <si>
    <t xml:space="preserve">Nature of Program / Event (Date)</t>
  </si>
  <si>
    <t xml:space="preserve">National Seminar, International Conference, Workshops and ASCII activities</t>
  </si>
  <si>
    <t xml:space="preserve">Details of Income to be generated</t>
  </si>
  <si>
    <t xml:space="preserve">CATEGORIES</t>
  </si>
  <si>
    <t xml:space="preserve">NO. OF PARTICIPANTS</t>
  </si>
  <si>
    <t xml:space="preserve">RATE</t>
  </si>
  <si>
    <t xml:space="preserve">AMOUNT
(in RS.)</t>
  </si>
  <si>
    <t xml:space="preserve">Participation Fee</t>
  </si>
  <si>
    <t xml:space="preserve">Sponsorship</t>
  </si>
  <si>
    <t xml:space="preserve">CSI / IEEE</t>
  </si>
  <si>
    <t xml:space="preserve">TOTAL INCOME</t>
  </si>
  <si>
    <t xml:space="preserve">Details of Expenses to be incurred (inclusive of GST)</t>
  </si>
  <si>
    <t xml:space="preserve">PARTICULARS</t>
  </si>
  <si>
    <t xml:space="preserve">Workshop on Emerging Trends</t>
  </si>
  <si>
    <t xml:space="preserve">Conferences</t>
  </si>
  <si>
    <t xml:space="preserve">ASCII Peer Events  &amp; Foobar Fest</t>
  </si>
  <si>
    <t xml:space="preserve">Seminar on Industry Practises</t>
  </si>
  <si>
    <t xml:space="preserve">Sports Day (Tableau)</t>
  </si>
  <si>
    <t xml:space="preserve">IEEE / ACM Student Branch Events</t>
  </si>
  <si>
    <t xml:space="preserve">CSA</t>
  </si>
  <si>
    <t xml:space="preserve">Experience Engineering Programme</t>
  </si>
  <si>
    <t xml:space="preserve">Magnovite</t>
  </si>
  <si>
    <t xml:space="preserve">ICETech</t>
  </si>
  <si>
    <t xml:space="preserve">Blossoms</t>
  </si>
  <si>
    <t xml:space="preserve">Daksh</t>
  </si>
  <si>
    <t xml:space="preserve">Ideathon -  Projects _ State wide</t>
  </si>
  <si>
    <t xml:space="preserve">Tech Utsav</t>
  </si>
  <si>
    <t xml:space="preserve">SDG Cell Activities</t>
  </si>
  <si>
    <t xml:space="preserve">Research Colloquium</t>
  </si>
  <si>
    <t xml:space="preserve">Research Seminar</t>
  </si>
  <si>
    <t xml:space="preserve">Prizes for 'participate and win contests' - News Letter &amp; Magzine</t>
  </si>
  <si>
    <t xml:space="preserve">III Cell Related events</t>
  </si>
  <si>
    <t xml:space="preserve">Entruperenuership Event </t>
  </si>
</sst>
</file>

<file path=xl/styles.xml><?xml version="1.0" encoding="utf-8"?>
<styleSheet xmlns="http://schemas.openxmlformats.org/spreadsheetml/2006/main">
  <numFmts count="8">
    <numFmt numFmtId="164" formatCode="General"/>
    <numFmt numFmtId="165" formatCode="_(* #,##0.00_);_(* \(#,##0.00\);_(* \-??_);_(@_)"/>
    <numFmt numFmtId="166" formatCode="General"/>
    <numFmt numFmtId="167" formatCode="_ * #,##0_ ;_ * \-#,##0_ ;_ * \-??_ ;_ @_ "/>
    <numFmt numFmtId="168" formatCode="@"/>
    <numFmt numFmtId="169" formatCode="0%"/>
    <numFmt numFmtId="170" formatCode="_ * #,##0.00_ ;_ * \-#,##0.00_ ;_ * \-??.00_ ;_ @_ "/>
    <numFmt numFmtId="171" formatCode="_(* #,##0.00_);_(* \(#,##0.00\);_(* \-??.00_);_(@_)"/>
  </numFmts>
  <fonts count="18">
    <font>
      <sz val="11"/>
      <color theme="1"/>
      <name val="Calibri"/>
      <family val="0"/>
      <charset val="1"/>
    </font>
    <font>
      <sz val="10"/>
      <name val="Arial"/>
      <family val="0"/>
    </font>
    <font>
      <sz val="10"/>
      <name val="Arial"/>
      <family val="0"/>
    </font>
    <font>
      <sz val="10"/>
      <name val="Arial"/>
      <family val="0"/>
    </font>
    <font>
      <sz val="11"/>
      <color theme="1"/>
      <name val="Georgia"/>
      <family val="0"/>
      <charset val="1"/>
    </font>
    <font>
      <b val="true"/>
      <sz val="11"/>
      <color theme="0"/>
      <name val="Georgia"/>
      <family val="0"/>
      <charset val="1"/>
    </font>
    <font>
      <b val="true"/>
      <sz val="18"/>
      <color rgb="FFFF0000"/>
      <name val="Georgia"/>
      <family val="0"/>
      <charset val="1"/>
    </font>
    <font>
      <b val="true"/>
      <sz val="13"/>
      <color theme="1"/>
      <name val="Book Antiqua"/>
      <family val="0"/>
      <charset val="1"/>
    </font>
    <font>
      <sz val="11"/>
      <color theme="1"/>
      <name val="Book Antiqua"/>
      <family val="0"/>
      <charset val="1"/>
    </font>
    <font>
      <b val="true"/>
      <sz val="11"/>
      <color theme="1"/>
      <name val="Book Antiqua"/>
      <family val="0"/>
      <charset val="1"/>
    </font>
    <font>
      <sz val="10"/>
      <name val="Arial"/>
      <family val="2"/>
    </font>
    <font>
      <i val="true"/>
      <sz val="11"/>
      <color theme="1"/>
      <name val="Book Antiqua"/>
      <family val="0"/>
      <charset val="1"/>
    </font>
    <font>
      <sz val="12"/>
      <color theme="1"/>
      <name val="Book Antiqua"/>
      <family val="0"/>
      <charset val="1"/>
    </font>
    <font>
      <b val="true"/>
      <sz val="12"/>
      <color theme="1"/>
      <name val="Book Antiqua"/>
      <family val="0"/>
      <charset val="1"/>
    </font>
    <font>
      <sz val="10"/>
      <color theme="1"/>
      <name val="Book Antiqua"/>
      <family val="0"/>
      <charset val="1"/>
    </font>
    <font>
      <u val="single"/>
      <sz val="11"/>
      <color theme="10"/>
      <name val="Book Antiqua"/>
      <family val="0"/>
      <charset val="1"/>
    </font>
    <font>
      <sz val="10"/>
      <color theme="1"/>
      <name val="Times New Roman"/>
      <family val="0"/>
      <charset val="1"/>
    </font>
    <font>
      <sz val="10"/>
      <color rgb="FF000000"/>
      <name val="Times New Roman"/>
      <family val="0"/>
      <charset val="1"/>
    </font>
  </fonts>
  <fills count="7">
    <fill>
      <patternFill patternType="none"/>
    </fill>
    <fill>
      <patternFill patternType="gray125"/>
    </fill>
    <fill>
      <patternFill patternType="solid">
        <fgColor theme="5"/>
        <bgColor rgb="FF993366"/>
      </patternFill>
    </fill>
    <fill>
      <patternFill patternType="solid">
        <fgColor rgb="FFFDE9D9"/>
        <bgColor rgb="FFFBD4B4"/>
      </patternFill>
    </fill>
    <fill>
      <patternFill patternType="solid">
        <fgColor rgb="FFFBD4B4"/>
        <bgColor rgb="FFFFC7CE"/>
      </patternFill>
    </fill>
    <fill>
      <patternFill patternType="solid">
        <fgColor rgb="FFFFFFFF"/>
        <bgColor rgb="FFFDE9D9"/>
      </patternFill>
    </fill>
    <fill>
      <patternFill patternType="solid">
        <fgColor rgb="FFD8D8D8"/>
        <bgColor rgb="FFC6EFCE"/>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bottom style="thin"/>
      <diagonal/>
    </border>
    <border diagonalUp="false" diagonalDown="false">
      <left style="thin"/>
      <right/>
      <top/>
      <bottom/>
      <diagonal/>
    </border>
    <border diagonalUp="false" diagonalDown="false">
      <left/>
      <right style="thin"/>
      <top/>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general" vertical="center" textRotation="0" wrapText="false" indent="0" shrinkToFit="false"/>
      <protection locked="true" hidden="false"/>
    </xf>
    <xf numFmtId="164" fontId="8" fillId="3" borderId="3" xfId="0" applyFont="true" applyBorder="true" applyAlignment="true" applyProtection="false">
      <alignment horizontal="general" vertical="center" textRotation="0" wrapText="false" indent="0" shrinkToFit="false"/>
      <protection locked="true" hidden="false"/>
    </xf>
    <xf numFmtId="164" fontId="8" fillId="3" borderId="4" xfId="0" applyFont="true" applyBorder="true" applyAlignment="true" applyProtection="false">
      <alignment horizontal="general" vertical="center" textRotation="0" wrapText="false" indent="0" shrinkToFit="false"/>
      <protection locked="true" hidden="false"/>
    </xf>
    <xf numFmtId="164" fontId="9" fillId="0" borderId="5" xfId="0" applyFont="true" applyBorder="true" applyAlignment="true" applyProtection="false">
      <alignment horizontal="center" vertical="center" textRotation="0" wrapText="false" indent="0" shrinkToFit="false"/>
      <protection locked="true" hidden="false"/>
    </xf>
    <xf numFmtId="164" fontId="9" fillId="3" borderId="6" xfId="0" applyFont="true" applyBorder="true" applyAlignment="true" applyProtection="false">
      <alignment horizontal="general" vertical="center" textRotation="0" wrapText="false" indent="0" shrinkToFit="false"/>
      <protection locked="true" hidden="false"/>
    </xf>
    <xf numFmtId="164" fontId="8" fillId="3" borderId="7" xfId="0" applyFont="true" applyBorder="true" applyAlignment="true" applyProtection="false">
      <alignment horizontal="center" vertical="center" textRotation="0" wrapText="false" indent="0" shrinkToFit="false"/>
      <protection locked="true" hidden="false"/>
    </xf>
    <xf numFmtId="164" fontId="8" fillId="3" borderId="8"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9" fillId="0" borderId="6"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5" fontId="8" fillId="0" borderId="6" xfId="0" applyFont="true" applyBorder="true" applyAlignment="true" applyProtection="false">
      <alignment horizontal="general" vertical="center"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5" fontId="8" fillId="0" borderId="1" xfId="0" applyFont="true" applyBorder="true" applyAlignment="true" applyProtection="false">
      <alignment horizontal="general" vertical="center" textRotation="0" wrapText="false" indent="0" shrinkToFit="false"/>
      <protection locked="true" hidden="false"/>
    </xf>
    <xf numFmtId="164" fontId="8" fillId="0" borderId="8" xfId="0" applyFont="true" applyBorder="true" applyAlignment="true" applyProtection="false">
      <alignment horizontal="general" vertical="center" textRotation="0" wrapText="false" indent="0" shrinkToFit="false"/>
      <protection locked="true" hidden="false"/>
    </xf>
    <xf numFmtId="164" fontId="8" fillId="0" borderId="7" xfId="0" applyFont="true" applyBorder="true" applyAlignment="true" applyProtection="false">
      <alignment horizontal="center" vertical="center" textRotation="0" wrapText="false" indent="0" shrinkToFit="false"/>
      <protection locked="true" hidden="false"/>
    </xf>
    <xf numFmtId="164" fontId="8" fillId="0" borderId="8" xfId="0" applyFont="true" applyBorder="true" applyAlignment="true" applyProtection="false">
      <alignment horizontal="center" vertical="center" textRotation="0" wrapText="false" indent="0" shrinkToFit="false"/>
      <protection locked="true" hidden="false"/>
    </xf>
    <xf numFmtId="164" fontId="9" fillId="0" borderId="8" xfId="0" applyFont="true" applyBorder="true" applyAlignment="true" applyProtection="false">
      <alignment horizontal="general" vertical="center" textRotation="0" wrapText="false" indent="0" shrinkToFit="false"/>
      <protection locked="true" hidden="false"/>
    </xf>
    <xf numFmtId="164" fontId="9" fillId="0" borderId="9" xfId="0" applyFont="true" applyBorder="true" applyAlignment="true" applyProtection="false">
      <alignment horizontal="general" vertical="center" textRotation="0" wrapText="false" indent="0" shrinkToFit="false"/>
      <protection locked="true" hidden="false"/>
    </xf>
    <xf numFmtId="164" fontId="8" fillId="0" borderId="10" xfId="0" applyFont="true" applyBorder="true" applyAlignment="true" applyProtection="false">
      <alignment horizontal="general" vertical="center" textRotation="0" wrapText="false" indent="0" shrinkToFit="false"/>
      <protection locked="true" hidden="false"/>
    </xf>
    <xf numFmtId="165" fontId="8" fillId="0" borderId="9" xfId="0" applyFont="tru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tru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general" vertical="center" textRotation="0" wrapText="false" indent="0" shrinkToFit="false"/>
      <protection locked="true" hidden="false"/>
    </xf>
    <xf numFmtId="165" fontId="9" fillId="0" borderId="8" xfId="0" applyFont="true" applyBorder="tru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general" vertical="bottom" textRotation="0" wrapText="false" indent="0" shrinkToFit="false"/>
      <protection locked="true" hidden="false"/>
    </xf>
    <xf numFmtId="164" fontId="8" fillId="0" borderId="9" xfId="0" applyFont="true" applyBorder="true" applyAlignment="true" applyProtection="false">
      <alignment horizontal="general" vertical="bottom" textRotation="0" wrapText="false" indent="0" shrinkToFit="false"/>
      <protection locked="true" hidden="false"/>
    </xf>
    <xf numFmtId="164" fontId="8" fillId="0" borderId="12" xfId="0" applyFont="true" applyBorder="true" applyAlignment="true" applyProtection="false">
      <alignment horizontal="general" vertical="bottom" textRotation="0" wrapText="false" indent="0" shrinkToFit="false"/>
      <protection locked="true" hidden="false"/>
    </xf>
    <xf numFmtId="164" fontId="8" fillId="0" borderId="11" xfId="0" applyFont="true" applyBorder="true" applyAlignment="true" applyProtection="false">
      <alignment horizontal="general" vertical="bottom" textRotation="0" wrapText="false" indent="0" shrinkToFit="false"/>
      <protection locked="true" hidden="false"/>
    </xf>
    <xf numFmtId="164" fontId="8" fillId="0" borderId="12" xfId="0" applyFont="true" applyBorder="true" applyAlignment="true" applyProtection="false">
      <alignment horizontal="general" vertical="center" textRotation="0" wrapText="false" indent="0" shrinkToFit="false"/>
      <protection locked="true" hidden="false"/>
    </xf>
    <xf numFmtId="164" fontId="8" fillId="0" borderId="11"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7" fillId="0" borderId="12" xfId="0" applyFont="true" applyBorder="true" applyAlignment="true" applyProtection="false">
      <alignment horizontal="center" vertical="top" textRotation="0" wrapText="false" indent="0" shrinkToFit="false"/>
      <protection locked="true" hidden="false"/>
    </xf>
    <xf numFmtId="164" fontId="9" fillId="0" borderId="6" xfId="0" applyFont="true" applyBorder="true" applyAlignment="true" applyProtection="false">
      <alignment horizontal="general" vertical="top" textRotation="0" wrapText="false" indent="0" shrinkToFit="false"/>
      <protection locked="true" hidden="false"/>
    </xf>
    <xf numFmtId="164" fontId="8" fillId="0" borderId="7" xfId="0" applyFont="true" applyBorder="true" applyAlignment="true" applyProtection="false">
      <alignment horizontal="general" vertical="top" textRotation="0" wrapText="false" indent="0" shrinkToFit="false"/>
      <protection locked="true" hidden="false"/>
    </xf>
    <xf numFmtId="164" fontId="8" fillId="0" borderId="7" xfId="0" applyFont="true" applyBorder="true" applyAlignment="true" applyProtection="false">
      <alignment horizontal="general" vertical="top" textRotation="0" wrapText="true" indent="0" shrinkToFit="false"/>
      <protection locked="true" hidden="false"/>
    </xf>
    <xf numFmtId="164" fontId="8" fillId="0" borderId="8"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9" xfId="0" applyFont="true" applyBorder="true" applyAlignment="true" applyProtection="false">
      <alignment horizontal="general" vertical="top" textRotation="0" wrapText="false" indent="0" shrinkToFit="false"/>
      <protection locked="true" hidden="false"/>
    </xf>
    <xf numFmtId="164" fontId="8" fillId="0" borderId="7" xfId="0" applyFont="true" applyBorder="true" applyAlignment="true" applyProtection="false">
      <alignment horizontal="center" vertical="top" textRotation="0" wrapText="false" indent="0" shrinkToFit="false"/>
      <protection locked="true" hidden="false"/>
    </xf>
    <xf numFmtId="164" fontId="8" fillId="0" borderId="1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8" fillId="0" borderId="12" xfId="0" applyFont="true" applyBorder="true" applyAlignment="true" applyProtection="false">
      <alignment horizontal="general" vertical="top" textRotation="0" wrapText="false" indent="0" shrinkToFit="false"/>
      <protection locked="true" hidden="false"/>
    </xf>
    <xf numFmtId="164" fontId="8" fillId="0" borderId="12" xfId="0" applyFont="true" applyBorder="true" applyAlignment="true" applyProtection="false">
      <alignment horizontal="general" vertical="top" textRotation="0" wrapText="true" indent="0" shrinkToFit="false"/>
      <protection locked="true" hidden="false"/>
    </xf>
    <xf numFmtId="164" fontId="8" fillId="0" borderId="12" xfId="0" applyFont="true" applyBorder="true" applyAlignment="true" applyProtection="false">
      <alignment horizontal="center" vertical="top" textRotation="0" wrapText="false" indent="0" shrinkToFit="false"/>
      <protection locked="true" hidden="false"/>
    </xf>
    <xf numFmtId="164" fontId="9" fillId="0" borderId="12" xfId="0" applyFont="true" applyBorder="true" applyAlignment="true" applyProtection="false">
      <alignment horizontal="general" vertical="top" textRotation="0" wrapText="false" indent="0" shrinkToFit="false"/>
      <protection locked="true" hidden="false"/>
    </xf>
    <xf numFmtId="164" fontId="9" fillId="0" borderId="7"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6"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1" fillId="0" borderId="6" xfId="0" applyFont="true" applyBorder="true" applyAlignment="true" applyProtection="false">
      <alignment horizontal="general" vertical="top" textRotation="0" wrapText="true" indent="0" shrinkToFit="false"/>
      <protection locked="true" hidden="false"/>
    </xf>
    <xf numFmtId="164" fontId="8" fillId="0" borderId="6" xfId="0" applyFont="true" applyBorder="true" applyAlignment="true" applyProtection="false">
      <alignment horizontal="general" vertical="top" textRotation="0" wrapText="false" indent="0" shrinkToFit="false"/>
      <protection locked="true" hidden="false"/>
    </xf>
    <xf numFmtId="165" fontId="8" fillId="0" borderId="6" xfId="0" applyFont="true" applyBorder="true" applyAlignment="true" applyProtection="false">
      <alignment horizontal="general" vertical="top" textRotation="0" wrapText="false" indent="0" shrinkToFit="false"/>
      <protection locked="true" hidden="false"/>
    </xf>
    <xf numFmtId="164" fontId="0" fillId="0" borderId="8" xfId="0" applyFont="false" applyBorder="true" applyAlignment="true" applyProtection="false">
      <alignment horizontal="general" vertical="top" textRotation="0" wrapText="false" indent="0" shrinkToFit="false"/>
      <protection locked="true" hidden="false"/>
    </xf>
    <xf numFmtId="165" fontId="8" fillId="0" borderId="8"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0" fillId="0" borderId="3" xfId="0" applyFont="false" applyBorder="true" applyAlignment="true" applyProtection="false">
      <alignment horizontal="general" vertical="top" textRotation="0" wrapText="true" indent="0" shrinkToFit="false"/>
      <protection locked="true" hidden="false"/>
    </xf>
    <xf numFmtId="165" fontId="8" fillId="4" borderId="5"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64" fontId="8" fillId="0" borderId="3" xfId="0" applyFont="true" applyBorder="true" applyAlignment="true" applyProtection="false">
      <alignment horizontal="general" vertical="top" textRotation="0" wrapText="fals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4" fontId="8" fillId="0" borderId="4" xfId="0" applyFont="true" applyBorder="true" applyAlignment="true" applyProtection="false">
      <alignment horizontal="general" vertical="top" textRotation="0" wrapText="false" indent="0" shrinkToFit="false"/>
      <protection locked="true" hidden="false"/>
    </xf>
    <xf numFmtId="164" fontId="8" fillId="0" borderId="9" xfId="0" applyFont="true" applyBorder="true" applyAlignment="true" applyProtection="false">
      <alignment horizontal="general" vertical="top" textRotation="0" wrapText="false" indent="0" shrinkToFit="false"/>
      <protection locked="true" hidden="false"/>
    </xf>
    <xf numFmtId="164" fontId="9" fillId="0" borderId="13"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7" xfId="0" applyFont="true" applyBorder="true" applyAlignment="true" applyProtection="false">
      <alignment horizontal="general" vertical="top" textRotation="0" wrapText="true" indent="0" shrinkToFit="false"/>
      <protection locked="true" hidden="false"/>
    </xf>
    <xf numFmtId="164" fontId="9" fillId="0" borderId="8"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6" fontId="8"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8" fillId="5" borderId="0" xfId="0" applyFont="true" applyBorder="false" applyAlignment="true" applyProtection="false">
      <alignment horizontal="general" vertical="top" textRotation="0" wrapText="false" indent="0" shrinkToFit="false"/>
      <protection locked="true" hidden="false"/>
    </xf>
    <xf numFmtId="164" fontId="8" fillId="0" borderId="5" xfId="0" applyFont="true" applyBorder="true" applyAlignment="true" applyProtection="false">
      <alignment horizontal="general" vertical="top" textRotation="0" wrapText="true" indent="0" shrinkToFit="false"/>
      <protection locked="true" hidden="false"/>
    </xf>
    <xf numFmtId="164" fontId="8" fillId="5" borderId="6" xfId="0" applyFont="true" applyBorder="true" applyAlignment="true" applyProtection="false">
      <alignment horizontal="center" vertical="top" textRotation="0" wrapText="true" indent="0" shrinkToFit="false"/>
      <protection locked="true" hidden="false"/>
    </xf>
    <xf numFmtId="164" fontId="0" fillId="5" borderId="1" xfId="0" applyFont="false" applyBorder="true" applyAlignment="true" applyProtection="false">
      <alignment horizontal="general" vertical="top" textRotation="0" wrapText="false" indent="0" shrinkToFit="false"/>
      <protection locked="true" hidden="false"/>
    </xf>
    <xf numFmtId="167" fontId="8" fillId="5" borderId="8" xfId="0" applyFont="true" applyBorder="true" applyAlignment="true" applyProtection="false">
      <alignment horizontal="center" vertical="top" textRotation="0" wrapText="false" indent="0" shrinkToFit="false"/>
      <protection locked="true" hidden="false"/>
    </xf>
    <xf numFmtId="167" fontId="8" fillId="5"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8" fillId="5" borderId="6" xfId="0" applyFont="true" applyBorder="true" applyAlignment="true" applyProtection="false">
      <alignment horizontal="general" vertical="top" textRotation="0" wrapText="false" indent="0" shrinkToFit="false"/>
      <protection locked="true" hidden="false"/>
    </xf>
    <xf numFmtId="164" fontId="0" fillId="5" borderId="8" xfId="0" applyFont="false" applyBorder="true" applyAlignment="true" applyProtection="false">
      <alignment horizontal="general" vertical="top" textRotation="0" wrapText="false" indent="0" shrinkToFit="false"/>
      <protection locked="true" hidden="false"/>
    </xf>
    <xf numFmtId="164" fontId="8" fillId="5" borderId="10" xfId="0" applyFont="true" applyBorder="true" applyAlignment="true" applyProtection="false">
      <alignment horizontal="general" vertical="top" textRotation="0" wrapText="true" indent="0" shrinkToFit="false"/>
      <protection locked="true" hidden="false"/>
    </xf>
    <xf numFmtId="164" fontId="0" fillId="5" borderId="0" xfId="0" applyFont="false" applyBorder="false" applyAlignment="true" applyProtection="false">
      <alignment horizontal="general" vertical="top" textRotation="0" wrapText="false" indent="0" shrinkToFit="false"/>
      <protection locked="true" hidden="false"/>
    </xf>
    <xf numFmtId="167" fontId="8" fillId="5" borderId="10" xfId="0" applyFont="true" applyBorder="true" applyAlignment="true" applyProtection="false">
      <alignment horizontal="center" vertical="top" textRotation="0" wrapText="fals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6" fontId="8" fillId="6"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5" fontId="8" fillId="6" borderId="1" xfId="0" applyFont="true" applyBorder="true" applyAlignment="true" applyProtection="false">
      <alignment horizontal="general" vertical="top" textRotation="0" wrapText="false" indent="0" shrinkToFit="false"/>
      <protection locked="true" hidden="false"/>
    </xf>
    <xf numFmtId="164" fontId="8" fillId="6" borderId="6" xfId="0" applyFont="true" applyBorder="true" applyAlignment="true" applyProtection="false">
      <alignment horizontal="general" vertical="top" textRotation="0" wrapText="false" indent="0" shrinkToFit="false"/>
      <protection locked="true" hidden="false"/>
    </xf>
    <xf numFmtId="164" fontId="0" fillId="6" borderId="8" xfId="0" applyFont="false" applyBorder="true" applyAlignment="true" applyProtection="false">
      <alignment horizontal="general" vertical="top" textRotation="0" wrapText="false" indent="0" shrinkToFit="false"/>
      <protection locked="true" hidden="false"/>
    </xf>
    <xf numFmtId="164" fontId="8" fillId="6" borderId="0" xfId="0" applyFont="true" applyBorder="fals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false" indent="0" shrinkToFit="false"/>
      <protection locked="true" hidden="false"/>
    </xf>
    <xf numFmtId="164" fontId="9" fillId="0" borderId="3" xfId="0" applyFont="true" applyBorder="true" applyAlignment="true" applyProtection="false">
      <alignment horizontal="general" vertical="top" textRotation="0" wrapText="false" indent="0" shrinkToFit="false"/>
      <protection locked="true" hidden="false"/>
    </xf>
    <xf numFmtId="165" fontId="8" fillId="0" borderId="3" xfId="0" applyFont="true" applyBorder="true" applyAlignment="true" applyProtection="false">
      <alignment horizontal="general" vertical="top" textRotation="0" wrapText="false" indent="0" shrinkToFit="false"/>
      <protection locked="true" hidden="false"/>
    </xf>
    <xf numFmtId="165" fontId="8" fillId="0" borderId="4" xfId="0" applyFont="true" applyBorder="true" applyAlignment="true" applyProtection="false">
      <alignment horizontal="general" vertical="top" textRotation="0" wrapText="false" indent="0" shrinkToFit="false"/>
      <protection locked="true" hidden="false"/>
    </xf>
    <xf numFmtId="164" fontId="8" fillId="0" borderId="13" xfId="0" applyFont="true" applyBorder="tru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5" fontId="8" fillId="0" borderId="14"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10"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right" vertical="top" textRotation="0" wrapText="false" indent="0" shrinkToFit="false"/>
      <protection locked="true" hidden="false"/>
    </xf>
    <xf numFmtId="164" fontId="8" fillId="5" borderId="5" xfId="0" applyFont="true" applyBorder="true" applyAlignment="true" applyProtection="false">
      <alignment horizontal="general" vertical="top" textRotation="0" wrapText="true" indent="0" shrinkToFit="false"/>
      <protection locked="true" hidden="false"/>
    </xf>
    <xf numFmtId="164" fontId="8" fillId="5" borderId="5" xfId="0" applyFont="true" applyBorder="true" applyAlignment="true" applyProtection="false">
      <alignment horizontal="center" vertical="top" textRotation="0" wrapText="false" indent="0" shrinkToFit="false"/>
      <protection locked="true" hidden="false"/>
    </xf>
    <xf numFmtId="167" fontId="8" fillId="5" borderId="5" xfId="0" applyFont="true" applyBorder="true" applyAlignment="true" applyProtection="false">
      <alignment horizontal="right" vertical="top" textRotation="0" wrapText="false" indent="0" shrinkToFit="false"/>
      <protection locked="true" hidden="false"/>
    </xf>
    <xf numFmtId="164" fontId="8" fillId="0" borderId="5"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false" indent="0" shrinkToFit="false"/>
      <protection locked="true" hidden="false"/>
    </xf>
    <xf numFmtId="164" fontId="8" fillId="0" borderId="10" xfId="0" applyFont="true" applyBorder="true" applyAlignment="true" applyProtection="false">
      <alignment horizontal="center" vertical="center" textRotation="0" wrapText="false" indent="0" shrinkToFit="false"/>
      <protection locked="true" hidden="false"/>
    </xf>
    <xf numFmtId="164" fontId="8" fillId="0" borderId="10" xfId="0" applyFont="true" applyBorder="true" applyAlignment="true" applyProtection="false">
      <alignment horizontal="general" vertical="top" textRotation="0" wrapText="true" indent="0" shrinkToFit="false"/>
      <protection locked="true" hidden="false"/>
    </xf>
    <xf numFmtId="164" fontId="8" fillId="0" borderId="10" xfId="0" applyFont="true" applyBorder="true" applyAlignment="true" applyProtection="false">
      <alignment horizontal="center" vertical="top" textRotation="0" wrapText="false" indent="0" shrinkToFit="false"/>
      <protection locked="true" hidden="false"/>
    </xf>
    <xf numFmtId="164" fontId="8" fillId="5" borderId="15" xfId="0" applyFont="true" applyBorder="true" applyAlignment="true" applyProtection="false">
      <alignment horizontal="general" vertical="top" textRotation="0" wrapText="true" indent="0" shrinkToFit="false"/>
      <protection locked="true" hidden="false"/>
    </xf>
    <xf numFmtId="164" fontId="0" fillId="0" borderId="10" xfId="0" applyFont="false" applyBorder="true" applyAlignment="true" applyProtection="false">
      <alignment horizontal="center" vertical="top" textRotation="0" wrapText="false" indent="0" shrinkToFit="false"/>
      <protection locked="true" hidden="false"/>
    </xf>
    <xf numFmtId="167" fontId="8" fillId="5" borderId="15" xfId="0" applyFont="true" applyBorder="true" applyAlignment="true" applyProtection="false">
      <alignment horizontal="right" vertical="top" textRotation="0" wrapText="false" indent="0" shrinkToFit="false"/>
      <protection locked="true" hidden="false"/>
    </xf>
    <xf numFmtId="167" fontId="8" fillId="5" borderId="1" xfId="0" applyFont="true" applyBorder="true" applyAlignment="true" applyProtection="false">
      <alignment horizontal="center" vertical="top" textRotation="0" wrapText="true" indent="0" shrinkToFit="false"/>
      <protection locked="true" hidden="false"/>
    </xf>
    <xf numFmtId="164" fontId="0" fillId="0" borderId="15" xfId="0" applyFont="false" applyBorder="true" applyAlignment="true" applyProtection="false">
      <alignment horizontal="center" vertical="top" textRotation="0" wrapText="false" indent="0" shrinkToFit="false"/>
      <protection locked="true" hidden="false"/>
    </xf>
    <xf numFmtId="167" fontId="8" fillId="5" borderId="5"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0" borderId="5" xfId="0" applyFont="true" applyBorder="true" applyAlignment="true" applyProtection="false">
      <alignment horizontal="general"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8" fillId="0" borderId="10" xfId="0" applyFont="true" applyBorder="true" applyAlignment="true" applyProtection="false">
      <alignment horizontal="general" vertical="top" textRotation="0" wrapText="false" indent="0" shrinkToFit="false"/>
      <protection locked="true" hidden="false"/>
    </xf>
    <xf numFmtId="168" fontId="8" fillId="0" borderId="0" xfId="0" applyFont="true" applyBorder="false" applyAlignment="true" applyProtection="false">
      <alignment horizontal="general" vertical="top" textRotation="0" wrapText="true" indent="0" shrinkToFit="false"/>
      <protection locked="true" hidden="false"/>
    </xf>
    <xf numFmtId="168" fontId="8" fillId="0" borderId="14" xfId="0" applyFont="true" applyBorder="true" applyAlignment="true" applyProtection="false">
      <alignment horizontal="general" vertical="top" textRotation="0" wrapText="true" indent="0" shrinkToFit="false"/>
      <protection locked="true" hidden="false"/>
    </xf>
    <xf numFmtId="164" fontId="8" fillId="0" borderId="14"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8" fontId="9"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general" vertical="bottom" textRotation="0" wrapText="false" indent="0" shrinkToFit="false"/>
      <protection locked="true" hidden="false"/>
    </xf>
    <xf numFmtId="164" fontId="8" fillId="0" borderId="8" xfId="0" applyFont="true" applyBorder="true" applyAlignment="true" applyProtection="false">
      <alignment horizontal="general" vertical="bottom" textRotation="0" wrapText="false" indent="0" shrinkToFit="false"/>
      <protection locked="true" hidden="false"/>
    </xf>
    <xf numFmtId="164" fontId="8" fillId="0" borderId="6" xfId="0" applyFont="true" applyBorder="true" applyAlignment="true" applyProtection="false">
      <alignment horizontal="left" vertical="top" textRotation="0" wrapText="false" indent="0" shrinkToFit="false"/>
      <protection locked="true" hidden="false"/>
    </xf>
    <xf numFmtId="164" fontId="8" fillId="0" borderId="6" xfId="0" applyFont="true" applyBorder="true" applyAlignment="true" applyProtection="false">
      <alignment horizontal="left" vertical="top" textRotation="0" wrapText="true" indent="0" shrinkToFit="false"/>
      <protection locked="true" hidden="false"/>
    </xf>
    <xf numFmtId="164" fontId="9" fillId="0" borderId="6" xfId="0" applyFont="true" applyBorder="true" applyAlignment="true" applyProtection="false">
      <alignment horizontal="center" vertical="top" textRotation="0" wrapText="true" indent="0" shrinkToFit="false"/>
      <protection locked="true" hidden="false"/>
    </xf>
    <xf numFmtId="164" fontId="8" fillId="0" borderId="7" xfId="0" applyFont="true" applyBorder="true" applyAlignment="true" applyProtection="false">
      <alignment horizontal="left" vertical="top" textRotation="0" wrapText="false" indent="0" shrinkToFit="false"/>
      <protection locked="true" hidden="false"/>
    </xf>
    <xf numFmtId="164" fontId="8" fillId="0" borderId="8" xfId="0" applyFont="true" applyBorder="true" applyAlignment="true" applyProtection="false">
      <alignment horizontal="left" vertical="top" textRotation="0" wrapText="false" indent="0" shrinkToFit="false"/>
      <protection locked="true" hidden="false"/>
    </xf>
    <xf numFmtId="167" fontId="8" fillId="0" borderId="6" xfId="0" applyFont="true" applyBorder="true" applyAlignment="true" applyProtection="false">
      <alignment horizontal="center" vertical="top" textRotation="0" wrapText="false" indent="0" shrinkToFit="false"/>
      <protection locked="true" hidden="false"/>
    </xf>
    <xf numFmtId="167" fontId="8" fillId="0" borderId="1" xfId="0" applyFont="true" applyBorder="true" applyAlignment="true" applyProtection="false">
      <alignment horizontal="center" vertical="top" textRotation="0" wrapText="false" indent="0" shrinkToFit="false"/>
      <protection locked="true" hidden="false"/>
    </xf>
    <xf numFmtId="164" fontId="8" fillId="0" borderId="6" xfId="0" applyFont="true" applyBorder="true" applyAlignment="true" applyProtection="false">
      <alignment horizontal="center" vertical="top" textRotation="0" wrapText="false" indent="0" shrinkToFit="false"/>
      <protection locked="true" hidden="false"/>
    </xf>
    <xf numFmtId="164" fontId="8" fillId="0" borderId="8" xfId="0" applyFont="true" applyBorder="true" applyAlignment="true" applyProtection="false">
      <alignment horizontal="center" vertical="top" textRotation="0" wrapText="false" indent="0" shrinkToFit="false"/>
      <protection locked="true" hidden="false"/>
    </xf>
    <xf numFmtId="164" fontId="9" fillId="0" borderId="6" xfId="0" applyFont="true" applyBorder="true" applyAlignment="true" applyProtection="false">
      <alignment horizontal="left" vertical="top" textRotation="0" wrapText="false" indent="0" shrinkToFit="false"/>
      <protection locked="true" hidden="false"/>
    </xf>
    <xf numFmtId="164" fontId="9" fillId="0" borderId="0" xfId="0" applyFont="true" applyBorder="false" applyAlignment="true" applyProtection="false">
      <alignment horizontal="center" vertical="top" textRotation="0" wrapText="false" indent="0" shrinkToFit="false"/>
      <protection locked="true" hidden="false"/>
    </xf>
    <xf numFmtId="164" fontId="9" fillId="0" borderId="6" xfId="0" applyFont="true" applyBorder="true" applyAlignment="true" applyProtection="false">
      <alignment horizontal="center" vertical="top" textRotation="0" wrapText="false" indent="0" shrinkToFit="false"/>
      <protection locked="true" hidden="false"/>
    </xf>
    <xf numFmtId="169" fontId="9"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70" fontId="8" fillId="0" borderId="1" xfId="0" applyFont="true" applyBorder="true" applyAlignment="true" applyProtection="false">
      <alignment horizontal="right" vertical="top"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71" fontId="8" fillId="0" borderId="1" xfId="0" applyFont="true" applyBorder="tru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9C0006"/>
      </font>
      <fill>
        <patternFill>
          <bgColor rgb="FFFFC7CE"/>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FFC7CE"/>
      <rgbColor rgb="FF808080"/>
      <rgbColor rgb="FF9999FF"/>
      <rgbColor rgb="FFC0504D"/>
      <rgbColor rgb="FFFDE9D9"/>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BD4B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cbic-gst.gov.in/gst-goods-services-rates.html" TargetMode="Externa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cbic-gst.gov.in/gst-goods-services-rates.html" TargetMode="Externa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57"/>
    <col collapsed="false" customWidth="true" hidden="false" outlineLevel="0" max="2" min="2" style="1" width="18.57"/>
    <col collapsed="false" customWidth="true" hidden="false" outlineLevel="0" max="3" min="3" style="1" width="10.85"/>
    <col collapsed="false" customWidth="true" hidden="false" outlineLevel="0" max="6" min="4" style="1" width="9.14"/>
    <col collapsed="false" customWidth="true" hidden="false" outlineLevel="0" max="26" min="7" style="1" width="8.57"/>
  </cols>
  <sheetData>
    <row r="1" customFormat="false" ht="14.2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row>
    <row r="2" customFormat="false" ht="14.25" hidden="false" customHeight="true" outlineLevel="0" collapsed="false">
      <c r="A2" s="2"/>
      <c r="B2" s="3" t="s">
        <v>0</v>
      </c>
      <c r="C2" s="3" t="s">
        <v>1</v>
      </c>
      <c r="D2" s="2"/>
      <c r="E2" s="2"/>
      <c r="F2" s="2"/>
      <c r="G2" s="2"/>
      <c r="H2" s="2"/>
      <c r="I2" s="2"/>
      <c r="J2" s="2"/>
      <c r="K2" s="2"/>
      <c r="L2" s="2"/>
      <c r="M2" s="2"/>
      <c r="N2" s="2"/>
      <c r="O2" s="2"/>
      <c r="P2" s="2"/>
      <c r="Q2" s="2"/>
      <c r="R2" s="2"/>
      <c r="S2" s="2"/>
      <c r="T2" s="2"/>
      <c r="U2" s="2"/>
      <c r="V2" s="2"/>
      <c r="W2" s="2"/>
      <c r="X2" s="2"/>
      <c r="Y2" s="2"/>
      <c r="Z2" s="2"/>
    </row>
    <row r="3" customFormat="false" ht="14.25" hidden="false" customHeight="true" outlineLevel="0" collapsed="false">
      <c r="A3" s="2"/>
      <c r="B3" s="4"/>
      <c r="C3" s="4"/>
      <c r="D3" s="2"/>
      <c r="E3" s="2"/>
      <c r="F3" s="2"/>
      <c r="G3" s="2"/>
      <c r="H3" s="2"/>
      <c r="I3" s="2"/>
      <c r="J3" s="2"/>
      <c r="K3" s="2"/>
      <c r="L3" s="2"/>
      <c r="M3" s="2"/>
      <c r="N3" s="2"/>
      <c r="O3" s="2"/>
      <c r="P3" s="2"/>
      <c r="Q3" s="2"/>
      <c r="R3" s="2"/>
      <c r="S3" s="2"/>
      <c r="T3" s="2"/>
      <c r="U3" s="2"/>
      <c r="V3" s="2"/>
      <c r="W3" s="2"/>
      <c r="X3" s="2"/>
      <c r="Y3" s="2"/>
      <c r="Z3" s="2"/>
    </row>
    <row r="4" customFormat="false" ht="21.75" hidden="false" customHeight="true" outlineLevel="0" collapsed="false">
      <c r="A4" s="2"/>
      <c r="B4" s="4" t="s">
        <v>2</v>
      </c>
      <c r="C4" s="4" t="s">
        <v>3</v>
      </c>
      <c r="D4" s="2"/>
      <c r="E4" s="5" t="s">
        <v>4</v>
      </c>
      <c r="F4" s="2"/>
      <c r="G4" s="2"/>
      <c r="H4" s="2"/>
      <c r="I4" s="2"/>
      <c r="J4" s="2"/>
      <c r="K4" s="2"/>
      <c r="L4" s="2"/>
      <c r="M4" s="2"/>
      <c r="N4" s="2"/>
      <c r="O4" s="2"/>
      <c r="P4" s="2"/>
      <c r="Q4" s="2"/>
      <c r="R4" s="2"/>
      <c r="S4" s="2"/>
      <c r="T4" s="2"/>
      <c r="U4" s="2"/>
      <c r="V4" s="2"/>
      <c r="W4" s="2"/>
      <c r="X4" s="2"/>
      <c r="Y4" s="2"/>
      <c r="Z4" s="2"/>
    </row>
    <row r="5" customFormat="false" ht="14.25" hidden="false" customHeight="true" outlineLevel="0" collapsed="false">
      <c r="A5" s="2"/>
      <c r="B5" s="4"/>
      <c r="C5" s="4"/>
      <c r="D5" s="2"/>
      <c r="E5" s="2"/>
      <c r="F5" s="2"/>
      <c r="G5" s="2"/>
      <c r="H5" s="2"/>
      <c r="I5" s="2"/>
      <c r="J5" s="2"/>
      <c r="K5" s="2"/>
      <c r="L5" s="2"/>
      <c r="M5" s="2"/>
      <c r="N5" s="2"/>
      <c r="O5" s="2"/>
      <c r="P5" s="2"/>
      <c r="Q5" s="2"/>
      <c r="R5" s="2"/>
      <c r="S5" s="2"/>
      <c r="T5" s="2"/>
      <c r="U5" s="2"/>
      <c r="V5" s="2"/>
      <c r="W5" s="2"/>
      <c r="X5" s="2"/>
      <c r="Y5" s="2"/>
      <c r="Z5" s="2"/>
    </row>
    <row r="6" customFormat="false" ht="14.25" hidden="false" customHeight="true" outlineLevel="0" collapsed="false">
      <c r="A6" s="2"/>
      <c r="B6" s="4"/>
      <c r="C6" s="4"/>
      <c r="D6" s="2"/>
      <c r="E6" s="2"/>
      <c r="F6" s="2"/>
      <c r="G6" s="2"/>
      <c r="H6" s="2"/>
      <c r="I6" s="2"/>
      <c r="J6" s="2"/>
      <c r="K6" s="2"/>
      <c r="L6" s="2"/>
      <c r="M6" s="2"/>
      <c r="N6" s="2"/>
      <c r="O6" s="2"/>
      <c r="P6" s="2"/>
      <c r="Q6" s="2"/>
      <c r="R6" s="2"/>
      <c r="S6" s="2"/>
      <c r="T6" s="2"/>
      <c r="U6" s="2"/>
      <c r="V6" s="2"/>
      <c r="W6" s="2"/>
      <c r="X6" s="2"/>
      <c r="Y6" s="2"/>
      <c r="Z6" s="2"/>
    </row>
    <row r="7" customFormat="false" ht="14.25" hidden="false" customHeight="true" outlineLevel="0" collapsed="false">
      <c r="A7" s="2"/>
      <c r="B7" s="4"/>
      <c r="C7" s="4"/>
      <c r="D7" s="2"/>
      <c r="E7" s="2"/>
      <c r="F7" s="2"/>
      <c r="G7" s="2"/>
      <c r="H7" s="2"/>
      <c r="I7" s="2"/>
      <c r="J7" s="2"/>
      <c r="K7" s="2"/>
      <c r="L7" s="2"/>
      <c r="M7" s="2"/>
      <c r="N7" s="2"/>
      <c r="O7" s="2"/>
      <c r="P7" s="2"/>
      <c r="Q7" s="2"/>
      <c r="R7" s="2"/>
      <c r="S7" s="2"/>
      <c r="T7" s="2"/>
      <c r="U7" s="2"/>
      <c r="V7" s="2"/>
      <c r="W7" s="2"/>
      <c r="X7" s="2"/>
      <c r="Y7" s="2"/>
      <c r="Z7" s="2"/>
    </row>
    <row r="8" customFormat="false" ht="14.25" hidden="false" customHeight="true" outlineLevel="0" collapsed="false">
      <c r="A8" s="2"/>
      <c r="B8" s="4"/>
      <c r="C8" s="4"/>
      <c r="D8" s="2"/>
      <c r="E8" s="2"/>
      <c r="F8" s="2"/>
      <c r="G8" s="2"/>
      <c r="H8" s="2"/>
      <c r="I8" s="2"/>
      <c r="J8" s="2"/>
      <c r="K8" s="2"/>
      <c r="L8" s="2"/>
      <c r="M8" s="2"/>
      <c r="N8" s="2"/>
      <c r="O8" s="2"/>
      <c r="P8" s="2"/>
      <c r="Q8" s="2"/>
      <c r="R8" s="2"/>
      <c r="S8" s="2"/>
      <c r="T8" s="2"/>
      <c r="U8" s="2"/>
      <c r="V8" s="2"/>
      <c r="W8" s="2"/>
      <c r="X8" s="2"/>
      <c r="Y8" s="2"/>
      <c r="Z8" s="2"/>
    </row>
    <row r="9" customFormat="false" ht="14.25" hidden="false" customHeight="true" outlineLevel="0" collapsed="false">
      <c r="A9" s="2"/>
      <c r="B9" s="4"/>
      <c r="C9" s="4"/>
      <c r="D9" s="2"/>
      <c r="E9" s="2"/>
      <c r="F9" s="2"/>
      <c r="G9" s="2"/>
      <c r="H9" s="2"/>
      <c r="I9" s="2"/>
      <c r="J9" s="2"/>
      <c r="K9" s="2"/>
      <c r="L9" s="2"/>
      <c r="M9" s="2"/>
      <c r="N9" s="2"/>
      <c r="O9" s="2"/>
      <c r="P9" s="2"/>
      <c r="Q9" s="2"/>
      <c r="R9" s="2"/>
      <c r="S9" s="2"/>
      <c r="T9" s="2"/>
      <c r="U9" s="2"/>
      <c r="V9" s="2"/>
      <c r="W9" s="2"/>
      <c r="X9" s="2"/>
      <c r="Y9" s="2"/>
      <c r="Z9" s="2"/>
    </row>
    <row r="10" customFormat="false" ht="14.25" hidden="false" customHeight="true" outlineLevel="0" collapsed="false">
      <c r="A10" s="2"/>
      <c r="B10" s="4"/>
      <c r="C10" s="4"/>
      <c r="D10" s="2"/>
      <c r="E10" s="2"/>
      <c r="F10" s="2"/>
      <c r="G10" s="2"/>
      <c r="H10" s="2"/>
      <c r="I10" s="2"/>
      <c r="J10" s="2"/>
      <c r="K10" s="2"/>
      <c r="L10" s="2"/>
      <c r="M10" s="2"/>
      <c r="N10" s="2"/>
      <c r="O10" s="2"/>
      <c r="P10" s="2"/>
      <c r="Q10" s="2"/>
      <c r="R10" s="2"/>
      <c r="S10" s="2"/>
      <c r="T10" s="2"/>
      <c r="U10" s="2"/>
      <c r="V10" s="2"/>
      <c r="W10" s="2"/>
      <c r="X10" s="2"/>
      <c r="Y10" s="2"/>
      <c r="Z10" s="2"/>
    </row>
    <row r="11" customFormat="false" ht="14.25" hidden="false" customHeight="true" outlineLevel="0" collapsed="false">
      <c r="A11" s="2"/>
      <c r="B11" s="4"/>
      <c r="C11" s="4"/>
      <c r="D11" s="2"/>
      <c r="E11" s="2"/>
      <c r="F11" s="2"/>
      <c r="G11" s="2"/>
      <c r="H11" s="2"/>
      <c r="I11" s="2"/>
      <c r="J11" s="2"/>
      <c r="K11" s="2"/>
      <c r="L11" s="2"/>
      <c r="M11" s="2"/>
      <c r="N11" s="2"/>
      <c r="O11" s="2"/>
      <c r="P11" s="2"/>
      <c r="Q11" s="2"/>
      <c r="R11" s="2"/>
      <c r="S11" s="2"/>
      <c r="T11" s="2"/>
      <c r="U11" s="2"/>
      <c r="V11" s="2"/>
      <c r="W11" s="2"/>
      <c r="X11" s="2"/>
      <c r="Y11" s="2"/>
      <c r="Z11" s="2"/>
    </row>
    <row r="12" customFormat="false" ht="14.25" hidden="false" customHeight="true" outlineLevel="0" collapsed="false">
      <c r="A12" s="2"/>
      <c r="B12" s="4"/>
      <c r="C12" s="4"/>
      <c r="D12" s="2"/>
      <c r="E12" s="2"/>
      <c r="F12" s="2"/>
      <c r="G12" s="2"/>
      <c r="H12" s="2"/>
      <c r="I12" s="2"/>
      <c r="J12" s="2"/>
      <c r="K12" s="2"/>
      <c r="L12" s="2"/>
      <c r="M12" s="2"/>
      <c r="N12" s="2"/>
      <c r="O12" s="2"/>
      <c r="P12" s="2"/>
      <c r="Q12" s="2"/>
      <c r="R12" s="2"/>
      <c r="S12" s="2"/>
      <c r="T12" s="2"/>
      <c r="U12" s="2"/>
      <c r="V12" s="2"/>
      <c r="W12" s="2"/>
      <c r="X12" s="2"/>
      <c r="Y12" s="2"/>
      <c r="Z12" s="2"/>
    </row>
    <row r="13" customFormat="false" ht="14.25" hidden="false" customHeight="true" outlineLevel="0" collapsed="false">
      <c r="A13" s="2"/>
      <c r="B13" s="4"/>
      <c r="C13" s="4"/>
      <c r="D13" s="2"/>
      <c r="E13" s="2"/>
      <c r="F13" s="2"/>
      <c r="G13" s="2"/>
      <c r="H13" s="2"/>
      <c r="I13" s="2"/>
      <c r="J13" s="2"/>
      <c r="K13" s="2"/>
      <c r="L13" s="2"/>
      <c r="M13" s="2"/>
      <c r="N13" s="2"/>
      <c r="O13" s="2"/>
      <c r="P13" s="2"/>
      <c r="Q13" s="2"/>
      <c r="R13" s="2"/>
      <c r="S13" s="2"/>
      <c r="T13" s="2"/>
      <c r="U13" s="2"/>
      <c r="V13" s="2"/>
      <c r="W13" s="2"/>
      <c r="X13" s="2"/>
      <c r="Y13" s="2"/>
      <c r="Z13" s="2"/>
    </row>
    <row r="14" customFormat="false" ht="14.25" hidden="false" customHeight="true" outlineLevel="0" collapsed="false">
      <c r="A14" s="2"/>
      <c r="B14" s="4"/>
      <c r="C14" s="4"/>
      <c r="D14" s="2"/>
      <c r="E14" s="2"/>
      <c r="F14" s="2"/>
      <c r="G14" s="2"/>
      <c r="H14" s="2"/>
      <c r="I14" s="2"/>
      <c r="J14" s="2"/>
      <c r="K14" s="2"/>
      <c r="L14" s="2"/>
      <c r="M14" s="2"/>
      <c r="N14" s="2"/>
      <c r="O14" s="2"/>
      <c r="P14" s="2"/>
      <c r="Q14" s="2"/>
      <c r="R14" s="2"/>
      <c r="S14" s="2"/>
      <c r="T14" s="2"/>
      <c r="U14" s="2"/>
      <c r="V14" s="2"/>
      <c r="W14" s="2"/>
      <c r="X14" s="2"/>
      <c r="Y14" s="2"/>
      <c r="Z14" s="2"/>
    </row>
    <row r="15" customFormat="false" ht="14.25" hidden="false" customHeight="true" outlineLevel="0" collapsed="false">
      <c r="A15" s="2"/>
      <c r="B15" s="4"/>
      <c r="C15" s="4"/>
      <c r="D15" s="2"/>
      <c r="E15" s="2"/>
      <c r="F15" s="2"/>
      <c r="G15" s="2"/>
      <c r="H15" s="2"/>
      <c r="I15" s="2"/>
      <c r="J15" s="2"/>
      <c r="K15" s="2"/>
      <c r="L15" s="2"/>
      <c r="M15" s="2"/>
      <c r="N15" s="2"/>
      <c r="O15" s="2"/>
      <c r="P15" s="2"/>
      <c r="Q15" s="2"/>
      <c r="R15" s="2"/>
      <c r="S15" s="2"/>
      <c r="T15" s="2"/>
      <c r="U15" s="2"/>
      <c r="V15" s="2"/>
      <c r="W15" s="2"/>
      <c r="X15" s="2"/>
      <c r="Y15" s="2"/>
      <c r="Z15" s="2"/>
    </row>
    <row r="16" customFormat="false" ht="14.25" hidden="false" customHeight="true" outlineLevel="0" collapsed="false">
      <c r="A16" s="2"/>
      <c r="B16" s="4"/>
      <c r="C16" s="4"/>
      <c r="D16" s="2"/>
      <c r="E16" s="2"/>
      <c r="F16" s="2"/>
      <c r="G16" s="2"/>
      <c r="H16" s="2"/>
      <c r="I16" s="2"/>
      <c r="J16" s="2"/>
      <c r="K16" s="2"/>
      <c r="L16" s="2"/>
      <c r="M16" s="2"/>
      <c r="N16" s="2"/>
      <c r="O16" s="2"/>
      <c r="P16" s="2"/>
      <c r="Q16" s="2"/>
      <c r="R16" s="2"/>
      <c r="S16" s="2"/>
      <c r="T16" s="2"/>
      <c r="U16" s="2"/>
      <c r="V16" s="2"/>
      <c r="W16" s="2"/>
      <c r="X16" s="2"/>
      <c r="Y16" s="2"/>
      <c r="Z16" s="2"/>
    </row>
    <row r="17" customFormat="false" ht="14.25" hidden="false" customHeight="true" outlineLevel="0" collapsed="false">
      <c r="A17" s="2"/>
      <c r="B17" s="4"/>
      <c r="C17" s="4"/>
      <c r="D17" s="2"/>
      <c r="E17" s="2"/>
      <c r="F17" s="2"/>
      <c r="G17" s="2"/>
      <c r="H17" s="2"/>
      <c r="I17" s="2"/>
      <c r="J17" s="2"/>
      <c r="K17" s="2"/>
      <c r="L17" s="2"/>
      <c r="M17" s="2"/>
      <c r="N17" s="2"/>
      <c r="O17" s="2"/>
      <c r="P17" s="2"/>
      <c r="Q17" s="2"/>
      <c r="R17" s="2"/>
      <c r="S17" s="2"/>
      <c r="T17" s="2"/>
      <c r="U17" s="2"/>
      <c r="V17" s="2"/>
      <c r="W17" s="2"/>
      <c r="X17" s="2"/>
      <c r="Y17" s="2"/>
      <c r="Z17" s="2"/>
    </row>
    <row r="18" customFormat="false" ht="14.25" hidden="false" customHeight="true" outlineLevel="0" collapsed="false">
      <c r="A18" s="2"/>
      <c r="B18" s="4"/>
      <c r="C18" s="4"/>
      <c r="D18" s="2"/>
      <c r="E18" s="2"/>
      <c r="F18" s="2"/>
      <c r="G18" s="2"/>
      <c r="H18" s="2"/>
      <c r="I18" s="2"/>
      <c r="J18" s="2"/>
      <c r="K18" s="2"/>
      <c r="L18" s="2"/>
      <c r="M18" s="2"/>
      <c r="N18" s="2"/>
      <c r="O18" s="2"/>
      <c r="P18" s="2"/>
      <c r="Q18" s="2"/>
      <c r="R18" s="2"/>
      <c r="S18" s="2"/>
      <c r="T18" s="2"/>
      <c r="U18" s="2"/>
      <c r="V18" s="2"/>
      <c r="W18" s="2"/>
      <c r="X18" s="2"/>
      <c r="Y18" s="2"/>
      <c r="Z18" s="2"/>
    </row>
    <row r="19" customFormat="false" ht="14.25" hidden="false" customHeight="true" outlineLevel="0" collapsed="false">
      <c r="A19" s="2"/>
      <c r="B19" s="4"/>
      <c r="C19" s="4"/>
      <c r="D19" s="2"/>
      <c r="E19" s="2"/>
      <c r="F19" s="2"/>
      <c r="G19" s="2"/>
      <c r="H19" s="2"/>
      <c r="I19" s="2"/>
      <c r="J19" s="2"/>
      <c r="K19" s="2"/>
      <c r="L19" s="2"/>
      <c r="M19" s="2"/>
      <c r="N19" s="2"/>
      <c r="O19" s="2"/>
      <c r="P19" s="2"/>
      <c r="Q19" s="2"/>
      <c r="R19" s="2"/>
      <c r="S19" s="2"/>
      <c r="T19" s="2"/>
      <c r="U19" s="2"/>
      <c r="V19" s="2"/>
      <c r="W19" s="2"/>
      <c r="X19" s="2"/>
      <c r="Y19" s="2"/>
      <c r="Z19" s="2"/>
    </row>
    <row r="20" customFormat="false" ht="14.25" hidden="false" customHeight="true" outlineLevel="0" collapsed="false">
      <c r="A20" s="2"/>
      <c r="B20" s="4"/>
      <c r="C20" s="4"/>
      <c r="D20" s="2"/>
      <c r="E20" s="2"/>
      <c r="F20" s="2"/>
      <c r="G20" s="2"/>
      <c r="H20" s="2"/>
      <c r="I20" s="2"/>
      <c r="J20" s="2"/>
      <c r="K20" s="2"/>
      <c r="L20" s="2"/>
      <c r="M20" s="2"/>
      <c r="N20" s="2"/>
      <c r="O20" s="2"/>
      <c r="P20" s="2"/>
      <c r="Q20" s="2"/>
      <c r="R20" s="2"/>
      <c r="S20" s="2"/>
      <c r="T20" s="2"/>
      <c r="U20" s="2"/>
      <c r="V20" s="2"/>
      <c r="W20" s="2"/>
      <c r="X20" s="2"/>
      <c r="Y20" s="2"/>
      <c r="Z20" s="2"/>
    </row>
    <row r="21" customFormat="false" ht="14.25" hidden="false" customHeight="true" outlineLevel="0" collapsed="false">
      <c r="A21" s="2"/>
      <c r="B21" s="4"/>
      <c r="C21" s="4"/>
      <c r="D21" s="2"/>
      <c r="E21" s="2"/>
      <c r="F21" s="2"/>
      <c r="G21" s="2"/>
      <c r="H21" s="2"/>
      <c r="I21" s="2"/>
      <c r="J21" s="2"/>
      <c r="K21" s="2"/>
      <c r="L21" s="2"/>
      <c r="M21" s="2"/>
      <c r="N21" s="2"/>
      <c r="O21" s="2"/>
      <c r="P21" s="2"/>
      <c r="Q21" s="2"/>
      <c r="R21" s="2"/>
      <c r="S21" s="2"/>
      <c r="T21" s="2"/>
      <c r="U21" s="2"/>
      <c r="V21" s="2"/>
      <c r="W21" s="2"/>
      <c r="X21" s="2"/>
      <c r="Y21" s="2"/>
      <c r="Z21" s="2"/>
    </row>
    <row r="22" customFormat="false" ht="14.25" hidden="false" customHeight="true" outlineLevel="0" collapsed="false">
      <c r="A22" s="2"/>
      <c r="B22" s="4"/>
      <c r="C22" s="4"/>
      <c r="D22" s="2"/>
      <c r="E22" s="2"/>
      <c r="F22" s="2"/>
      <c r="G22" s="2"/>
      <c r="H22" s="2"/>
      <c r="I22" s="2"/>
      <c r="J22" s="2"/>
      <c r="K22" s="2"/>
      <c r="L22" s="2"/>
      <c r="M22" s="2"/>
      <c r="N22" s="2"/>
      <c r="O22" s="2"/>
      <c r="P22" s="2"/>
      <c r="Q22" s="2"/>
      <c r="R22" s="2"/>
      <c r="S22" s="2"/>
      <c r="T22" s="2"/>
      <c r="U22" s="2"/>
      <c r="V22" s="2"/>
      <c r="W22" s="2"/>
      <c r="X22" s="2"/>
      <c r="Y22" s="2"/>
      <c r="Z22" s="2"/>
    </row>
    <row r="23" customFormat="false" ht="14.2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4.2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4.2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4.2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4.2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4.2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4.2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4.2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7.86"/>
    <col collapsed="false" customWidth="true" hidden="false" outlineLevel="0" max="2" min="2" style="1" width="25.43"/>
    <col collapsed="false" customWidth="true" hidden="false" outlineLevel="0" max="3" min="3" style="1" width="18.57"/>
    <col collapsed="false" customWidth="true" hidden="true" outlineLevel="0" max="4" min="4" style="1" width="11"/>
    <col collapsed="false" customWidth="true" hidden="false" outlineLevel="0" max="5" min="5" style="1" width="12.57"/>
    <col collapsed="false" customWidth="true" hidden="false" outlineLevel="0" max="6" min="6" style="1" width="15.14"/>
    <col collapsed="false" customWidth="true" hidden="false" outlineLevel="0" max="7" min="7" style="1" width="18.57"/>
    <col collapsed="false" customWidth="true" hidden="false" outlineLevel="0" max="26" min="8" style="1" width="9.14"/>
  </cols>
  <sheetData>
    <row r="1" customFormat="false" ht="16.5" hidden="false" customHeight="true" outlineLevel="0" collapsed="false">
      <c r="A1" s="6" t="s">
        <v>5</v>
      </c>
      <c r="B1" s="6"/>
      <c r="C1" s="6"/>
      <c r="D1" s="6"/>
      <c r="E1" s="6"/>
      <c r="F1" s="6"/>
      <c r="G1" s="6"/>
      <c r="H1" s="7"/>
      <c r="I1" s="7"/>
      <c r="J1" s="7"/>
      <c r="K1" s="7"/>
      <c r="L1" s="7"/>
      <c r="M1" s="7"/>
      <c r="N1" s="7"/>
      <c r="O1" s="7"/>
      <c r="P1" s="7"/>
      <c r="Q1" s="7"/>
      <c r="R1" s="7"/>
      <c r="S1" s="7"/>
      <c r="T1" s="7"/>
      <c r="U1" s="7"/>
      <c r="V1" s="7"/>
      <c r="W1" s="7"/>
      <c r="X1" s="7"/>
      <c r="Y1" s="7"/>
      <c r="Z1" s="7"/>
    </row>
    <row r="2" customFormat="false" ht="16.5" hidden="false" customHeight="true" outlineLevel="0" collapsed="false">
      <c r="A2" s="6" t="str">
        <f aca="false">CONCATENATE("DEPARTMENTAL FINANCIAL BUDGET - ",List!$C$4)</f>
        <v>DEPARTMENTAL FINANCIAL BUDGET - 2026-27</v>
      </c>
      <c r="B2" s="6"/>
      <c r="C2" s="6"/>
      <c r="D2" s="6"/>
      <c r="E2" s="6"/>
      <c r="F2" s="6"/>
      <c r="G2" s="6"/>
      <c r="H2" s="7"/>
      <c r="I2" s="7"/>
      <c r="J2" s="7"/>
      <c r="K2" s="7"/>
      <c r="L2" s="7"/>
      <c r="M2" s="7"/>
      <c r="N2" s="7"/>
      <c r="O2" s="7"/>
      <c r="P2" s="7"/>
      <c r="Q2" s="7"/>
      <c r="R2" s="7"/>
      <c r="S2" s="7"/>
      <c r="T2" s="7"/>
      <c r="U2" s="7"/>
      <c r="V2" s="7"/>
      <c r="W2" s="7"/>
      <c r="X2" s="7"/>
      <c r="Y2" s="7"/>
      <c r="Z2" s="7"/>
    </row>
    <row r="3" customFormat="false" ht="21.75" hidden="false" customHeight="true" outlineLevel="0" collapsed="false">
      <c r="A3" s="8" t="s">
        <v>6</v>
      </c>
      <c r="B3" s="9"/>
      <c r="C3" s="9"/>
      <c r="D3" s="10"/>
      <c r="E3" s="11" t="str">
        <f aca="false">CONCATENATE("ACADEMIC YEAR - ",List!$C$4)</f>
        <v>ACADEMIC YEAR - 2026-27</v>
      </c>
      <c r="F3" s="11"/>
      <c r="G3" s="11"/>
      <c r="H3" s="7"/>
      <c r="I3" s="7"/>
      <c r="J3" s="7"/>
      <c r="K3" s="7"/>
      <c r="L3" s="7"/>
      <c r="M3" s="7"/>
      <c r="N3" s="7"/>
      <c r="O3" s="7"/>
      <c r="P3" s="7"/>
      <c r="Q3" s="7"/>
      <c r="R3" s="7"/>
      <c r="S3" s="7"/>
      <c r="T3" s="7"/>
      <c r="U3" s="7"/>
      <c r="V3" s="7"/>
      <c r="W3" s="7"/>
      <c r="X3" s="7"/>
      <c r="Y3" s="7"/>
      <c r="Z3" s="7"/>
    </row>
    <row r="4" customFormat="false" ht="21.75" hidden="false" customHeight="true" outlineLevel="0" collapsed="false">
      <c r="A4" s="12" t="s">
        <v>7</v>
      </c>
      <c r="B4" s="13" t="s">
        <v>8</v>
      </c>
      <c r="C4" s="13"/>
      <c r="D4" s="13"/>
      <c r="E4" s="12" t="s">
        <v>9</v>
      </c>
      <c r="F4" s="14" t="s">
        <v>10</v>
      </c>
      <c r="G4" s="14"/>
      <c r="H4" s="7"/>
      <c r="I4" s="7"/>
      <c r="J4" s="7"/>
      <c r="K4" s="7"/>
      <c r="L4" s="7"/>
      <c r="M4" s="7"/>
      <c r="N4" s="7"/>
      <c r="O4" s="7"/>
      <c r="P4" s="7"/>
      <c r="Q4" s="7"/>
      <c r="R4" s="7"/>
      <c r="S4" s="7"/>
      <c r="T4" s="7"/>
      <c r="U4" s="7"/>
      <c r="V4" s="7"/>
      <c r="W4" s="7"/>
      <c r="X4" s="7"/>
      <c r="Y4" s="7"/>
      <c r="Z4" s="7"/>
    </row>
    <row r="5" customFormat="false" ht="21.75" hidden="false" customHeight="true" outlineLevel="0" collapsed="false">
      <c r="A5" s="15"/>
      <c r="B5" s="16"/>
      <c r="C5" s="16"/>
      <c r="D5" s="16"/>
      <c r="E5" s="15"/>
      <c r="F5" s="16"/>
      <c r="G5" s="16"/>
      <c r="H5" s="7"/>
      <c r="I5" s="7"/>
      <c r="J5" s="7"/>
      <c r="K5" s="7"/>
      <c r="L5" s="7"/>
      <c r="M5" s="7"/>
      <c r="N5" s="7"/>
      <c r="O5" s="7"/>
      <c r="P5" s="7"/>
      <c r="Q5" s="7"/>
      <c r="R5" s="7"/>
      <c r="S5" s="7"/>
      <c r="T5" s="7"/>
      <c r="U5" s="7"/>
      <c r="V5" s="7"/>
      <c r="W5" s="7"/>
      <c r="X5" s="7"/>
      <c r="Y5" s="7"/>
      <c r="Z5" s="7"/>
    </row>
    <row r="6" customFormat="false" ht="21.75" hidden="false" customHeight="true" outlineLevel="0" collapsed="false">
      <c r="A6" s="17" t="s">
        <v>11</v>
      </c>
      <c r="B6" s="18"/>
      <c r="C6" s="19" t="n">
        <f aca="false">'Revenue or Earnings'!E30</f>
        <v>5765000</v>
      </c>
      <c r="D6" s="20"/>
      <c r="E6" s="21" t="s">
        <v>12</v>
      </c>
      <c r="F6" s="18"/>
      <c r="G6" s="22" t="n">
        <f aca="false">'Revenue Expenditures'!F72</f>
        <v>31138700</v>
      </c>
      <c r="H6" s="7"/>
      <c r="I6" s="7"/>
      <c r="J6" s="7"/>
      <c r="K6" s="7"/>
      <c r="L6" s="7"/>
      <c r="M6" s="7"/>
      <c r="N6" s="7"/>
      <c r="O6" s="7"/>
      <c r="P6" s="7"/>
      <c r="Q6" s="7"/>
      <c r="R6" s="7"/>
      <c r="S6" s="7"/>
      <c r="T6" s="7"/>
      <c r="U6" s="7"/>
      <c r="V6" s="7"/>
      <c r="W6" s="7"/>
      <c r="X6" s="7"/>
      <c r="Y6" s="7"/>
      <c r="Z6" s="7"/>
    </row>
    <row r="7" customFormat="false" ht="21.75" hidden="false" customHeight="true" outlineLevel="0" collapsed="false">
      <c r="A7" s="17"/>
      <c r="B7" s="23"/>
      <c r="C7" s="24"/>
      <c r="D7" s="25"/>
      <c r="E7" s="26" t="s">
        <v>13</v>
      </c>
      <c r="F7" s="18"/>
      <c r="G7" s="22" t="n">
        <f aca="false">CAPEX!D27</f>
        <v>19720000</v>
      </c>
      <c r="H7" s="7"/>
      <c r="I7" s="7"/>
      <c r="J7" s="7"/>
      <c r="K7" s="7"/>
      <c r="L7" s="7"/>
      <c r="M7" s="7"/>
      <c r="N7" s="7"/>
      <c r="O7" s="7"/>
      <c r="P7" s="7"/>
      <c r="Q7" s="7"/>
      <c r="R7" s="7"/>
      <c r="S7" s="7"/>
      <c r="T7" s="7"/>
      <c r="U7" s="7"/>
      <c r="V7" s="7"/>
      <c r="W7" s="7"/>
      <c r="X7" s="7"/>
      <c r="Y7" s="7"/>
      <c r="Z7" s="7"/>
    </row>
    <row r="8" customFormat="false" ht="21.75" hidden="false" customHeight="true" outlineLevel="0" collapsed="false">
      <c r="A8" s="27" t="s">
        <v>14</v>
      </c>
      <c r="B8" s="28"/>
      <c r="C8" s="29" t="n">
        <f aca="false">C6</f>
        <v>5765000</v>
      </c>
      <c r="D8" s="30"/>
      <c r="E8" s="17" t="s">
        <v>15</v>
      </c>
      <c r="F8" s="18"/>
      <c r="G8" s="22" t="n">
        <f aca="false">G6+G7</f>
        <v>50858700</v>
      </c>
      <c r="H8" s="7"/>
      <c r="I8" s="7"/>
      <c r="J8" s="7"/>
      <c r="K8" s="7"/>
      <c r="L8" s="7"/>
      <c r="M8" s="7"/>
      <c r="N8" s="7"/>
      <c r="O8" s="7"/>
      <c r="P8" s="7"/>
      <c r="Q8" s="7"/>
      <c r="R8" s="7"/>
      <c r="S8" s="7"/>
      <c r="T8" s="7"/>
      <c r="U8" s="7"/>
      <c r="V8" s="7"/>
      <c r="W8" s="7"/>
      <c r="X8" s="7"/>
      <c r="Y8" s="7"/>
      <c r="Z8" s="7"/>
    </row>
    <row r="9" customFormat="false" ht="21.75" hidden="false" customHeight="true" outlineLevel="0" collapsed="false">
      <c r="A9" s="17"/>
      <c r="B9" s="31"/>
      <c r="C9" s="24"/>
      <c r="D9" s="25"/>
      <c r="E9" s="17" t="s">
        <v>16</v>
      </c>
      <c r="F9" s="31"/>
      <c r="G9" s="32" t="n">
        <f aca="false">C8-G8</f>
        <v>-45093700</v>
      </c>
      <c r="H9" s="7"/>
      <c r="I9" s="7"/>
      <c r="J9" s="7"/>
      <c r="K9" s="7"/>
      <c r="L9" s="7"/>
      <c r="M9" s="7"/>
      <c r="N9" s="7"/>
      <c r="O9" s="7"/>
      <c r="P9" s="7"/>
      <c r="Q9" s="7"/>
      <c r="R9" s="7"/>
      <c r="S9" s="7"/>
      <c r="T9" s="7"/>
      <c r="U9" s="7"/>
      <c r="V9" s="7"/>
      <c r="W9" s="7"/>
      <c r="X9" s="7"/>
      <c r="Y9" s="7"/>
      <c r="Z9" s="7"/>
    </row>
    <row r="10" customFormat="false" ht="21" hidden="false" customHeight="true" outlineLevel="0" collapsed="false">
      <c r="A10" s="33"/>
      <c r="B10" s="34"/>
      <c r="C10" s="34"/>
      <c r="D10" s="34"/>
      <c r="E10" s="34"/>
      <c r="F10" s="34"/>
      <c r="G10" s="35"/>
      <c r="H10" s="7"/>
      <c r="I10" s="7"/>
      <c r="J10" s="7"/>
      <c r="K10" s="7"/>
      <c r="L10" s="7"/>
      <c r="M10" s="7"/>
      <c r="N10" s="7"/>
      <c r="O10" s="7"/>
      <c r="P10" s="7"/>
      <c r="Q10" s="7"/>
      <c r="R10" s="7"/>
      <c r="S10" s="7"/>
      <c r="T10" s="7"/>
      <c r="U10" s="7"/>
      <c r="V10" s="7"/>
      <c r="W10" s="7"/>
      <c r="X10" s="7"/>
      <c r="Y10" s="7"/>
      <c r="Z10" s="7"/>
    </row>
    <row r="11" customFormat="false" ht="21" hidden="false" customHeight="true" outlineLevel="0" collapsed="false">
      <c r="A11" s="36"/>
      <c r="B11" s="37"/>
      <c r="C11" s="37"/>
      <c r="D11" s="37"/>
      <c r="E11" s="37"/>
      <c r="F11" s="37"/>
      <c r="G11" s="38"/>
      <c r="H11" s="7"/>
      <c r="I11" s="7"/>
      <c r="J11" s="7"/>
      <c r="K11" s="7"/>
      <c r="L11" s="7"/>
      <c r="M11" s="7"/>
      <c r="N11" s="7"/>
      <c r="O11" s="7"/>
      <c r="P11" s="7"/>
      <c r="Q11" s="7"/>
      <c r="R11" s="7"/>
      <c r="S11" s="7"/>
      <c r="T11" s="7"/>
      <c r="U11" s="7"/>
      <c r="V11" s="7"/>
      <c r="W11" s="7"/>
      <c r="X11" s="7"/>
      <c r="Y11" s="7"/>
      <c r="Z11" s="7"/>
    </row>
    <row r="12" customFormat="false" ht="21" hidden="false" customHeight="true" outlineLevel="0" collapsed="false">
      <c r="A12" s="27" t="s">
        <v>17</v>
      </c>
      <c r="B12" s="39"/>
      <c r="C12" s="39"/>
      <c r="D12" s="39"/>
      <c r="E12" s="39"/>
      <c r="F12" s="39"/>
      <c r="G12" s="40"/>
      <c r="H12" s="41"/>
      <c r="I12" s="41"/>
      <c r="J12" s="41"/>
      <c r="K12" s="41"/>
      <c r="L12" s="41"/>
      <c r="M12" s="41"/>
      <c r="N12" s="41"/>
      <c r="O12" s="41"/>
      <c r="P12" s="41"/>
      <c r="Q12" s="41"/>
      <c r="R12" s="41"/>
      <c r="S12" s="41"/>
      <c r="T12" s="41"/>
      <c r="U12" s="41"/>
      <c r="V12" s="41"/>
      <c r="W12" s="41"/>
      <c r="X12" s="41"/>
      <c r="Y12" s="41"/>
      <c r="Z12" s="41"/>
    </row>
    <row r="13" customFormat="false" ht="54" hidden="false" customHeight="true" outlineLevel="0" collapsed="false">
      <c r="A13" s="17" t="s">
        <v>18</v>
      </c>
      <c r="B13" s="26"/>
      <c r="C13" s="17" t="s">
        <v>19</v>
      </c>
      <c r="D13" s="42"/>
      <c r="E13" s="26"/>
      <c r="F13" s="17" t="s">
        <v>20</v>
      </c>
      <c r="G13" s="26"/>
      <c r="H13" s="15"/>
      <c r="I13" s="15"/>
      <c r="J13" s="15"/>
      <c r="K13" s="15"/>
      <c r="L13" s="15"/>
      <c r="M13" s="15"/>
      <c r="N13" s="15"/>
      <c r="O13" s="15"/>
      <c r="P13" s="15"/>
      <c r="Q13" s="15"/>
      <c r="R13" s="15"/>
      <c r="S13" s="15"/>
      <c r="T13" s="15"/>
      <c r="U13" s="15"/>
      <c r="V13" s="15"/>
      <c r="W13" s="15"/>
      <c r="X13" s="15"/>
      <c r="Y13" s="15"/>
      <c r="Z13" s="15"/>
    </row>
    <row r="14" customFormat="false" ht="16.5" hidden="false" customHeight="true" outlineLevel="0" collapsed="false">
      <c r="A14" s="7"/>
      <c r="B14" s="7"/>
      <c r="C14" s="7"/>
      <c r="D14" s="7"/>
      <c r="E14" s="7"/>
      <c r="F14" s="7"/>
      <c r="G14" s="7"/>
      <c r="H14" s="7"/>
      <c r="I14" s="7"/>
      <c r="J14" s="7"/>
      <c r="K14" s="7"/>
      <c r="L14" s="7"/>
      <c r="M14" s="7"/>
      <c r="N14" s="7"/>
      <c r="O14" s="7"/>
      <c r="P14" s="7"/>
      <c r="Q14" s="7"/>
      <c r="R14" s="7"/>
      <c r="S14" s="7"/>
      <c r="T14" s="7"/>
      <c r="U14" s="7"/>
      <c r="V14" s="7"/>
      <c r="W14" s="7"/>
      <c r="X14" s="7"/>
      <c r="Y14" s="7"/>
      <c r="Z14" s="7"/>
    </row>
    <row r="15" customFormat="false" ht="16.5" hidden="false" customHeight="true" outlineLevel="0" collapsed="false">
      <c r="A15" s="43" t="s">
        <v>21</v>
      </c>
      <c r="B15" s="7"/>
      <c r="C15" s="7"/>
      <c r="D15" s="7"/>
      <c r="E15" s="7"/>
      <c r="F15" s="7"/>
      <c r="G15" s="7"/>
      <c r="H15" s="7"/>
      <c r="I15" s="7"/>
      <c r="J15" s="7"/>
      <c r="K15" s="7"/>
      <c r="L15" s="7"/>
      <c r="M15" s="7"/>
      <c r="N15" s="7"/>
      <c r="O15" s="7"/>
      <c r="P15" s="7"/>
      <c r="Q15" s="7"/>
      <c r="R15" s="7"/>
      <c r="S15" s="7"/>
      <c r="T15" s="7"/>
      <c r="U15" s="7"/>
      <c r="V15" s="7"/>
      <c r="W15" s="7"/>
      <c r="X15" s="7"/>
      <c r="Y15" s="7"/>
      <c r="Z15" s="7"/>
    </row>
    <row r="16" customFormat="false" ht="16.5" hidden="false" customHeight="true" outlineLevel="0" collapsed="false">
      <c r="A16" s="7" t="s">
        <v>22</v>
      </c>
      <c r="B16" s="7"/>
      <c r="C16" s="7"/>
      <c r="D16" s="7"/>
      <c r="E16" s="7"/>
      <c r="F16" s="7"/>
      <c r="G16" s="7"/>
      <c r="H16" s="7"/>
      <c r="I16" s="7"/>
      <c r="J16" s="7"/>
      <c r="K16" s="7"/>
      <c r="L16" s="7"/>
      <c r="M16" s="7"/>
      <c r="N16" s="7"/>
      <c r="O16" s="7"/>
      <c r="P16" s="7"/>
      <c r="Q16" s="7"/>
      <c r="R16" s="7"/>
      <c r="S16" s="7"/>
      <c r="T16" s="7"/>
      <c r="U16" s="7"/>
      <c r="V16" s="7"/>
      <c r="W16" s="7"/>
      <c r="X16" s="7"/>
      <c r="Y16" s="7"/>
      <c r="Z16" s="7"/>
    </row>
    <row r="17" customFormat="false" ht="16.5" hidden="false" customHeight="true" outlineLevel="0" collapsed="false">
      <c r="A17" s="7" t="s">
        <v>23</v>
      </c>
      <c r="B17" s="7"/>
      <c r="C17" s="7"/>
      <c r="D17" s="7"/>
      <c r="E17" s="7"/>
      <c r="F17" s="7"/>
      <c r="G17" s="7"/>
      <c r="H17" s="7"/>
      <c r="I17" s="7"/>
      <c r="J17" s="7"/>
      <c r="K17" s="7"/>
      <c r="L17" s="7"/>
      <c r="M17" s="7"/>
      <c r="N17" s="7"/>
      <c r="O17" s="7"/>
      <c r="P17" s="7"/>
      <c r="Q17" s="7"/>
      <c r="R17" s="7"/>
      <c r="S17" s="7"/>
      <c r="T17" s="7"/>
      <c r="U17" s="7"/>
      <c r="V17" s="7"/>
      <c r="W17" s="7"/>
      <c r="X17" s="7"/>
      <c r="Y17" s="7"/>
      <c r="Z17" s="7"/>
    </row>
    <row r="18" customFormat="false" ht="16.5" hidden="false" customHeight="true" outlineLevel="0" collapsed="false">
      <c r="A18" s="7" t="s">
        <v>24</v>
      </c>
      <c r="B18" s="7"/>
      <c r="C18" s="7"/>
      <c r="D18" s="7"/>
      <c r="E18" s="7"/>
      <c r="F18" s="7"/>
      <c r="G18" s="7"/>
      <c r="H18" s="7"/>
      <c r="I18" s="7"/>
      <c r="J18" s="7"/>
      <c r="K18" s="7"/>
      <c r="L18" s="7"/>
      <c r="M18" s="7"/>
      <c r="N18" s="7"/>
      <c r="O18" s="7"/>
      <c r="P18" s="7"/>
      <c r="Q18" s="7"/>
      <c r="R18" s="7"/>
      <c r="S18" s="7"/>
      <c r="T18" s="7"/>
      <c r="U18" s="7"/>
      <c r="V18" s="7"/>
      <c r="W18" s="7"/>
      <c r="X18" s="7"/>
      <c r="Y18" s="7"/>
      <c r="Z18" s="7"/>
    </row>
    <row r="19" customFormat="false" ht="16.5" hidden="false" customHeight="true" outlineLevel="0" collapsed="false">
      <c r="A19" s="7" t="s">
        <v>25</v>
      </c>
      <c r="B19" s="7"/>
      <c r="C19" s="7"/>
      <c r="D19" s="7"/>
      <c r="E19" s="7"/>
      <c r="F19" s="7"/>
      <c r="G19" s="7"/>
      <c r="H19" s="7"/>
      <c r="I19" s="7"/>
      <c r="J19" s="7"/>
      <c r="K19" s="7"/>
      <c r="L19" s="7"/>
      <c r="M19" s="7"/>
      <c r="N19" s="7"/>
      <c r="O19" s="7"/>
      <c r="P19" s="7"/>
      <c r="Q19" s="7"/>
      <c r="R19" s="7"/>
      <c r="S19" s="7"/>
      <c r="T19" s="7"/>
      <c r="U19" s="7"/>
      <c r="V19" s="7"/>
      <c r="W19" s="7"/>
      <c r="X19" s="7"/>
      <c r="Y19" s="7"/>
      <c r="Z19" s="7"/>
    </row>
    <row r="20" customFormat="false" ht="15.75" hidden="false" customHeight="true" outlineLevel="0" collapsed="false">
      <c r="A20" s="7" t="s">
        <v>26</v>
      </c>
      <c r="B20" s="7"/>
      <c r="C20" s="7"/>
      <c r="D20" s="7"/>
      <c r="E20" s="7"/>
      <c r="F20" s="7"/>
      <c r="G20" s="7"/>
      <c r="H20" s="7"/>
      <c r="I20" s="7"/>
      <c r="J20" s="7"/>
      <c r="K20" s="7"/>
      <c r="L20" s="7"/>
      <c r="M20" s="7"/>
      <c r="N20" s="7"/>
      <c r="O20" s="7"/>
      <c r="P20" s="7"/>
      <c r="Q20" s="7"/>
      <c r="R20" s="7"/>
      <c r="S20" s="7"/>
      <c r="T20" s="7"/>
      <c r="U20" s="7"/>
      <c r="V20" s="7"/>
      <c r="W20" s="7"/>
      <c r="X20" s="7"/>
      <c r="Y20" s="7"/>
      <c r="Z20" s="7"/>
    </row>
    <row r="21" customFormat="false" ht="16.5" hidden="false" customHeight="true" outlineLevel="0" collapsed="false">
      <c r="A21" s="7" t="s">
        <v>27</v>
      </c>
      <c r="B21" s="7"/>
      <c r="C21" s="7"/>
      <c r="D21" s="7"/>
      <c r="E21" s="7"/>
      <c r="F21" s="7"/>
      <c r="G21" s="7"/>
      <c r="H21" s="7"/>
      <c r="I21" s="7"/>
      <c r="J21" s="7"/>
      <c r="K21" s="7"/>
      <c r="L21" s="7"/>
      <c r="M21" s="7"/>
      <c r="N21" s="7"/>
      <c r="O21" s="7"/>
      <c r="P21" s="7"/>
      <c r="Q21" s="7"/>
      <c r="R21" s="7"/>
      <c r="S21" s="7"/>
      <c r="T21" s="7"/>
      <c r="U21" s="7"/>
      <c r="V21" s="7"/>
      <c r="W21" s="7"/>
      <c r="X21" s="7"/>
      <c r="Y21" s="7"/>
      <c r="Z21" s="7"/>
    </row>
    <row r="22" customFormat="false" ht="16.5" hidden="false" customHeight="true" outlineLevel="0" collapsed="false">
      <c r="A22" s="7" t="s">
        <v>28</v>
      </c>
      <c r="B22" s="7"/>
      <c r="C22" s="7"/>
      <c r="D22" s="7"/>
      <c r="E22" s="7"/>
      <c r="F22" s="7"/>
      <c r="G22" s="7"/>
      <c r="H22" s="7"/>
      <c r="I22" s="7"/>
      <c r="J22" s="7"/>
      <c r="K22" s="7"/>
      <c r="L22" s="7"/>
      <c r="M22" s="7"/>
      <c r="N22" s="7"/>
      <c r="O22" s="7"/>
      <c r="P22" s="7"/>
      <c r="Q22" s="7"/>
      <c r="R22" s="7"/>
      <c r="S22" s="7"/>
      <c r="T22" s="7"/>
      <c r="U22" s="7"/>
      <c r="V22" s="7"/>
      <c r="W22" s="7"/>
      <c r="X22" s="7"/>
      <c r="Y22" s="7"/>
      <c r="Z22" s="7"/>
    </row>
    <row r="23" customFormat="false" ht="16.5" hidden="false" customHeight="true" outlineLevel="0" collapsed="false">
      <c r="A23" s="7" t="s">
        <v>29</v>
      </c>
      <c r="B23" s="7"/>
      <c r="C23" s="7"/>
      <c r="D23" s="7"/>
      <c r="E23" s="7"/>
      <c r="F23" s="7"/>
      <c r="G23" s="7"/>
      <c r="H23" s="7"/>
      <c r="I23" s="7"/>
      <c r="J23" s="7"/>
      <c r="K23" s="7"/>
      <c r="L23" s="7"/>
      <c r="M23" s="7"/>
      <c r="N23" s="7"/>
      <c r="O23" s="7"/>
      <c r="P23" s="7"/>
      <c r="Q23" s="7"/>
      <c r="R23" s="7"/>
      <c r="S23" s="7"/>
      <c r="T23" s="7"/>
      <c r="U23" s="7"/>
      <c r="V23" s="7"/>
      <c r="W23" s="7"/>
      <c r="X23" s="7"/>
      <c r="Y23" s="7"/>
      <c r="Z23" s="7"/>
    </row>
    <row r="24" customFormat="false" ht="16.5" hidden="false" customHeight="true" outlineLevel="0" collapsed="false">
      <c r="A24" s="7" t="s">
        <v>30</v>
      </c>
      <c r="B24" s="7"/>
      <c r="C24" s="7"/>
      <c r="D24" s="7"/>
      <c r="E24" s="7"/>
      <c r="F24" s="7"/>
      <c r="G24" s="7"/>
      <c r="H24" s="7"/>
      <c r="I24" s="7"/>
      <c r="J24" s="7"/>
      <c r="K24" s="7"/>
      <c r="L24" s="7"/>
      <c r="M24" s="7"/>
      <c r="N24" s="7"/>
      <c r="O24" s="7"/>
      <c r="P24" s="7"/>
      <c r="Q24" s="7"/>
      <c r="R24" s="7"/>
      <c r="S24" s="7"/>
      <c r="T24" s="7"/>
      <c r="U24" s="7"/>
      <c r="V24" s="7"/>
      <c r="W24" s="7"/>
      <c r="X24" s="7"/>
      <c r="Y24" s="7"/>
      <c r="Z24" s="7"/>
    </row>
    <row r="25" customFormat="false" ht="16.5" hidden="false" customHeight="true" outlineLevel="0" collapsed="false">
      <c r="A25" s="7"/>
      <c r="B25" s="7"/>
      <c r="C25" s="7"/>
      <c r="D25" s="7"/>
      <c r="E25" s="7"/>
      <c r="F25" s="7"/>
      <c r="G25" s="7"/>
      <c r="H25" s="7"/>
      <c r="I25" s="7"/>
      <c r="J25" s="7"/>
      <c r="K25" s="7"/>
      <c r="L25" s="7"/>
      <c r="M25" s="7"/>
      <c r="N25" s="7"/>
      <c r="O25" s="7"/>
      <c r="P25" s="7"/>
      <c r="Q25" s="7"/>
      <c r="R25" s="7"/>
      <c r="S25" s="7"/>
      <c r="T25" s="7"/>
      <c r="U25" s="7"/>
      <c r="V25" s="7"/>
      <c r="W25" s="7"/>
      <c r="X25" s="7"/>
      <c r="Y25" s="7"/>
      <c r="Z25" s="7"/>
    </row>
    <row r="26" customFormat="false" ht="16.5" hidden="false" customHeight="true" outlineLevel="0" collapsed="false">
      <c r="A26" s="7"/>
      <c r="B26" s="7"/>
      <c r="C26" s="7"/>
      <c r="D26" s="7"/>
      <c r="E26" s="7"/>
      <c r="F26" s="7"/>
      <c r="G26" s="7"/>
      <c r="H26" s="7"/>
      <c r="I26" s="7"/>
      <c r="J26" s="7"/>
      <c r="K26" s="7"/>
      <c r="L26" s="7"/>
      <c r="M26" s="7"/>
      <c r="N26" s="7"/>
      <c r="O26" s="7"/>
      <c r="P26" s="7"/>
      <c r="Q26" s="7"/>
      <c r="R26" s="7"/>
      <c r="S26" s="7"/>
      <c r="T26" s="7"/>
      <c r="U26" s="7"/>
      <c r="V26" s="7"/>
      <c r="W26" s="7"/>
      <c r="X26" s="7"/>
      <c r="Y26" s="7"/>
      <c r="Z26" s="7"/>
    </row>
    <row r="27" customFormat="false" ht="16.5" hidden="false" customHeight="true" outlineLevel="0" collapsed="false">
      <c r="A27" s="7"/>
      <c r="B27" s="7"/>
      <c r="C27" s="7"/>
      <c r="D27" s="7"/>
      <c r="E27" s="7"/>
      <c r="F27" s="7"/>
      <c r="G27" s="7"/>
      <c r="H27" s="7"/>
      <c r="I27" s="7"/>
      <c r="J27" s="7"/>
      <c r="K27" s="7"/>
      <c r="L27" s="7"/>
      <c r="M27" s="7"/>
      <c r="N27" s="7"/>
      <c r="O27" s="7"/>
      <c r="P27" s="7"/>
      <c r="Q27" s="7"/>
      <c r="R27" s="7"/>
      <c r="S27" s="7"/>
      <c r="T27" s="7"/>
      <c r="U27" s="7"/>
      <c r="V27" s="7"/>
      <c r="W27" s="7"/>
      <c r="X27" s="7"/>
      <c r="Y27" s="7"/>
      <c r="Z27" s="7"/>
    </row>
    <row r="28" customFormat="false" ht="16.5" hidden="false" customHeight="true" outlineLevel="0" collapsed="false">
      <c r="A28" s="7"/>
      <c r="B28" s="7"/>
      <c r="C28" s="7"/>
      <c r="D28" s="7"/>
      <c r="E28" s="7"/>
      <c r="F28" s="7"/>
      <c r="G28" s="7"/>
      <c r="H28" s="7"/>
      <c r="I28" s="7"/>
      <c r="J28" s="7"/>
      <c r="K28" s="7"/>
      <c r="L28" s="7"/>
      <c r="M28" s="7"/>
      <c r="N28" s="7"/>
      <c r="O28" s="7"/>
      <c r="P28" s="7"/>
      <c r="Q28" s="7"/>
      <c r="R28" s="7"/>
      <c r="S28" s="7"/>
      <c r="T28" s="7"/>
      <c r="U28" s="7"/>
      <c r="V28" s="7"/>
      <c r="W28" s="7"/>
      <c r="X28" s="7"/>
      <c r="Y28" s="7"/>
      <c r="Z28" s="7"/>
    </row>
    <row r="29" customFormat="false" ht="16.5" hidden="false" customHeight="true" outlineLevel="0" collapsed="false">
      <c r="A29" s="7"/>
      <c r="B29" s="7"/>
      <c r="C29" s="7"/>
      <c r="D29" s="7"/>
      <c r="E29" s="7"/>
      <c r="F29" s="7"/>
      <c r="G29" s="7"/>
      <c r="H29" s="7"/>
      <c r="I29" s="7"/>
      <c r="J29" s="7"/>
      <c r="K29" s="7"/>
      <c r="L29" s="7"/>
      <c r="M29" s="7"/>
      <c r="N29" s="7"/>
      <c r="O29" s="7"/>
      <c r="P29" s="7"/>
      <c r="Q29" s="7"/>
      <c r="R29" s="7"/>
      <c r="S29" s="7"/>
      <c r="T29" s="7"/>
      <c r="U29" s="7"/>
      <c r="V29" s="7"/>
      <c r="W29" s="7"/>
      <c r="X29" s="7"/>
      <c r="Y29" s="7"/>
      <c r="Z29" s="7"/>
    </row>
    <row r="30" customFormat="false" ht="16.5" hidden="false" customHeight="true" outlineLevel="0" collapsed="false">
      <c r="A30" s="7"/>
      <c r="B30" s="7"/>
      <c r="C30" s="7"/>
      <c r="D30" s="7"/>
      <c r="E30" s="7"/>
      <c r="F30" s="7"/>
      <c r="G30" s="7"/>
      <c r="H30" s="7"/>
      <c r="I30" s="7"/>
      <c r="J30" s="7"/>
      <c r="K30" s="7"/>
      <c r="L30" s="7"/>
      <c r="M30" s="7"/>
      <c r="N30" s="7"/>
      <c r="O30" s="7"/>
      <c r="P30" s="7"/>
      <c r="Q30" s="7"/>
      <c r="R30" s="7"/>
      <c r="S30" s="7"/>
      <c r="T30" s="7"/>
      <c r="U30" s="7"/>
      <c r="V30" s="7"/>
      <c r="W30" s="7"/>
      <c r="X30" s="7"/>
      <c r="Y30" s="7"/>
      <c r="Z30" s="7"/>
    </row>
    <row r="31" customFormat="false" ht="16.5" hidden="false" customHeight="true" outlineLevel="0" collapsed="false">
      <c r="A31" s="7"/>
      <c r="B31" s="7"/>
      <c r="C31" s="7"/>
      <c r="D31" s="7"/>
      <c r="E31" s="7"/>
      <c r="F31" s="7"/>
      <c r="G31" s="7"/>
      <c r="H31" s="7"/>
      <c r="I31" s="7"/>
      <c r="J31" s="7"/>
      <c r="K31" s="7"/>
      <c r="L31" s="7"/>
      <c r="M31" s="7"/>
      <c r="N31" s="7"/>
      <c r="O31" s="7"/>
      <c r="P31" s="7"/>
      <c r="Q31" s="7"/>
      <c r="R31" s="7"/>
      <c r="S31" s="7"/>
      <c r="T31" s="7"/>
      <c r="U31" s="7"/>
      <c r="V31" s="7"/>
      <c r="W31" s="7"/>
      <c r="X31" s="7"/>
      <c r="Y31" s="7"/>
      <c r="Z31" s="7"/>
    </row>
    <row r="32" customFormat="false" ht="16.5" hidden="false" customHeight="true" outlineLevel="0" collapsed="false">
      <c r="A32" s="7"/>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16.5" hidden="false" customHeight="tru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16.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16.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row>
    <row r="36" customFormat="false" ht="16.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16.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16.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16.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row>
    <row r="40" customFormat="false" ht="16.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row>
    <row r="41" customFormat="false" ht="16.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row>
    <row r="42" customFormat="false" ht="16.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16.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16.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16.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16.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16.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16.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16.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row r="50" customFormat="false" ht="16.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6.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6.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6.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6.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6.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6.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6.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6.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6.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6.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6.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6.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6.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6.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6.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6.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6.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6.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6.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6.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6.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6.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6.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6.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6.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6.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6.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6.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6.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6.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6.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6.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6.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6.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6.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6.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6.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6.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6.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6.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6.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6.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6.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6.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6.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6.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6.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6.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6.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6.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6.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6.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6.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6.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6.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6.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6.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6.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6.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6.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6.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6.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6.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6.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6.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6.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6.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6.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6.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6.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6.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6.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6.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6.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6.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6.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6.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6.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6.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6.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6.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6.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6.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6.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6.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6.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6.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6.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6.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6.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6.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6.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6.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6.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6.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6.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6.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6.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6.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6.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6.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6.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6.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6.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6.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6.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6.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6.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6.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6.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6.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6.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6.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6.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6.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6.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6.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6.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6.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6.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6.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6.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6.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6.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6.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6.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6.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6.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6.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6.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6.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6.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6.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6.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6.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6.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6.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6.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6.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6.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6.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6.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6.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6.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6.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6.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6.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6.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6.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6.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6.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6.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6.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6.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6.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6.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6.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6.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6.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6.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6.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6.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6.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6.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6.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6.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6.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6.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6.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6.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6.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6.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6.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6.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6.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6.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6.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6.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6.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6.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6.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6.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6.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6.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6.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6.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6.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6.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6.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6.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6.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6.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6.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6.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6.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6.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6.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6.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6.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6.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6.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6.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6.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6.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6.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6.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6.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6.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6.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6.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6.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6.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6.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6.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6.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6.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6.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6.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6.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6.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6.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6.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6.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6.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6.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6.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6.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6.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6.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6.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6.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6.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6.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6.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6.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6.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6.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6.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6.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6.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6.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6.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6.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6.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6.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6.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6.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6.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6.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6.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6.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6.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6.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6.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6.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6.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6.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6.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6.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6.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6.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6.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6.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6.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6.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6.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6.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6.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6.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6.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6.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6.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6.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6.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6.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6.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6.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6.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6.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6.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6.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6.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6.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6.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6.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6.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6.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6.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6.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6.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6.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6.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6.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6.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6.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6.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6.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6.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6.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6.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6.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6.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6.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6.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6.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6.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6.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6.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6.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6.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6.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6.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6.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6.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6.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6.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6.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6.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6.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6.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6.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6.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6.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6.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6.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6.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6.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6.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6.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6.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6.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6.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6.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6.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6.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6.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6.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6.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6.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6.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6.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6.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6.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6.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6.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6.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6.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6.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6.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6.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6.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6.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6.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6.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6.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6.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6.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6.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6.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6.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6.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6.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6.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6.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6.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6.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6.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6.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6.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6.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6.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6.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6.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6.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6.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6.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6.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6.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6.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6.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6.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6.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6.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6.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6.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6.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6.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6.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6.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6.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6.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6.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6.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6.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6.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6.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6.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6.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6.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6.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6.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6.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6.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6.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6.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6.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6.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6.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6.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6.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6.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6.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6.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6.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6.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6.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6.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6.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6.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6.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6.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6.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6.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6.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6.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6.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6.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6.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6.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6.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6.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6.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6.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6.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6.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6.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6.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6.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6.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6.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6.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6.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6.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6.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6.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6.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6.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6.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6.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6.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6.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6.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6.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6.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6.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6.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6.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6.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6.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6.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6.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6.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6.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6.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6.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6.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6.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6.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6.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6.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6.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6.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6.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6.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6.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6.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6.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6.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6.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6.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6.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6.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6.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6.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6.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6.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6.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6.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6.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6.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6.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6.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6.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6.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6.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6.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6.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6.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6.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6.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6.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6.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6.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6.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6.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6.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6.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6.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6.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6.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6.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6.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6.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6.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6.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6.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6.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6.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6.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6.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6.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6.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6.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6.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6.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6.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6.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6.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6.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6.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6.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6.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6.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6.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6.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6.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6.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6.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6.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6.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6.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6.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6.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6.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6.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6.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6.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6.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6.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6.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6.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6.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6.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6.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6.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6.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6.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6.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6.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6.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6.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6.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6.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6.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6.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6.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6.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6.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6.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6.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6.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6.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6.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6.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6.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6.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6.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6.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6.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6.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6.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6.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6.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6.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6.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6.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6.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6.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6.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6.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6.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6.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6.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6.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6.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6.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6.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6.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6.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6.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6.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6.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6.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6.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6.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6.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6.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6.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6.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6.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6.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6.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6.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6.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6.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6.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6.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6.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6.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6.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6.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6.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6.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6.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6.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6.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6.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6.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6.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6.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6.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6.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6.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6.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6.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6.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6.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6.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6.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6.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6.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6.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6.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6.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6.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6.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6.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6.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6.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6.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6.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6.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6.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6.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6.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6.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6.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6.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6.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6.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6.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6.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6.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6.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6.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6.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6.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6.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6.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6.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6.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6.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6.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6.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6.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6.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6.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6.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6.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6.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6.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6.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6.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6.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6.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6.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6.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6.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6.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6.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6.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6.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6.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6.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6.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6.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6.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6.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6.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6.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6.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6.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6.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6.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6.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6.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6.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6.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6.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6.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6.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6.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6.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6.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6.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6.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6.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6.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6.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6.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6.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6.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6.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6.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6.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6.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6.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6.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6.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6.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6.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6.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6.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6.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6.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6.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6.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6.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6.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6.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6.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6.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6.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6.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6.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6.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6.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6.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6.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6.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6.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6.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6.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6.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6.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6.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6.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6.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6.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6.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6.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6.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6.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6.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6.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6.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6.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6.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6.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6.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6.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6.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6.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6.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6.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6.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6.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6.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6.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6.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6.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6.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6.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6.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6.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6.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6.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6.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6.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6.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6.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6.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6.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6.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6.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6.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6.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6.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6.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6.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6.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6.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6.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6.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6.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6.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6.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6.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6.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6.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6.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6.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6.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6.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6.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6.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6.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6.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6.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6.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6.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6.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6.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6.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6.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6.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6.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6.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6.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6.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6.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6.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6.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6.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6.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6.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6.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6.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6.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6.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6.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6.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6.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6.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6.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6.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6.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6.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6.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6.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6.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6.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6.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6.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6.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6.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6.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6.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6.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6.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6.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6.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6.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6.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6.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6.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6.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6.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6.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6.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6.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6.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6.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6.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6.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6.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6.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6.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6.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6.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6.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6.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6.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6.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6.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6.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6.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6.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6.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6.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6.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6.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6.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6.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6.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6.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6.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6.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6.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6.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6.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6.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6.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6.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6.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6.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6.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6.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6.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6.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6.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6.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6.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6.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6.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6.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6.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6.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6.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6.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6.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6.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6.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6.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6.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6.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6.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6.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6.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6.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6.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6.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6.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6.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6.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6.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6.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6.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6.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6.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6.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6.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6.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6.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6.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6.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6.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6.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6.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6.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
    <mergeCell ref="A1:G1"/>
    <mergeCell ref="A2:G2"/>
    <mergeCell ref="E3:G3"/>
    <mergeCell ref="B4:D4"/>
    <mergeCell ref="F4:G4"/>
  </mergeCells>
  <conditionalFormatting sqref="G9">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809722222222222" right="0.157638888888889" top="0.354166666666667" bottom="0.236111111111111" header="0.511811023622047" footer="0.511811023622047"/>
  <pageSetup paperSize="1" scale="86"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7.86"/>
    <col collapsed="false" customWidth="true" hidden="false" outlineLevel="0" max="2" min="2" style="1" width="24.43"/>
    <col collapsed="false" customWidth="true" hidden="false" outlineLevel="0" max="3" min="3" style="1" width="96.43"/>
    <col collapsed="false" customWidth="true" hidden="false" outlineLevel="0" max="4" min="4" style="1" width="17.43"/>
    <col collapsed="false" customWidth="true" hidden="false" outlineLevel="0" max="5" min="5" style="1" width="14.57"/>
    <col collapsed="false" customWidth="true" hidden="false" outlineLevel="0" max="6" min="6" style="1" width="13.86"/>
    <col collapsed="false" customWidth="true" hidden="false" outlineLevel="0" max="7" min="7" style="1" width="12.57"/>
    <col collapsed="false" customWidth="true" hidden="false" outlineLevel="0" max="9" min="8" style="1" width="14.57"/>
    <col collapsed="false" customWidth="true" hidden="false" outlineLevel="0" max="26" min="10" style="1" width="9.14"/>
  </cols>
  <sheetData>
    <row r="1" customFormat="false" ht="14.25" hidden="false" customHeight="true" outlineLevel="0" collapsed="false">
      <c r="A1" s="44" t="s">
        <v>5</v>
      </c>
      <c r="B1" s="44"/>
      <c r="C1" s="44"/>
      <c r="D1" s="44"/>
      <c r="E1" s="44"/>
      <c r="F1" s="44"/>
      <c r="G1" s="44"/>
      <c r="H1" s="44"/>
      <c r="I1" s="44"/>
      <c r="J1" s="45"/>
      <c r="K1" s="45"/>
      <c r="L1" s="45"/>
      <c r="M1" s="45"/>
      <c r="N1" s="45"/>
      <c r="O1" s="45"/>
      <c r="P1" s="45"/>
      <c r="Q1" s="45"/>
      <c r="R1" s="45"/>
      <c r="S1" s="45"/>
      <c r="T1" s="45"/>
      <c r="U1" s="45"/>
      <c r="V1" s="45"/>
      <c r="W1" s="45"/>
      <c r="X1" s="45"/>
      <c r="Y1" s="45"/>
      <c r="Z1" s="45"/>
    </row>
    <row r="2" customFormat="false" ht="14.25" hidden="false" customHeight="true" outlineLevel="0" collapsed="false">
      <c r="A2" s="46" t="str">
        <f aca="false">CONCATENATE("DEPARTMENTAL REVENUE BUDGET - ",List!$C$4)</f>
        <v>DEPARTMENTAL REVENUE BUDGET - 2026-27</v>
      </c>
      <c r="B2" s="46"/>
      <c r="C2" s="46"/>
      <c r="D2" s="46"/>
      <c r="E2" s="46"/>
      <c r="F2" s="46"/>
      <c r="G2" s="46"/>
      <c r="H2" s="46"/>
      <c r="I2" s="46"/>
      <c r="J2" s="45"/>
      <c r="K2" s="45"/>
      <c r="L2" s="45"/>
      <c r="M2" s="45"/>
      <c r="N2" s="45"/>
      <c r="O2" s="45"/>
      <c r="P2" s="45"/>
      <c r="Q2" s="45"/>
      <c r="R2" s="45"/>
      <c r="S2" s="45"/>
      <c r="T2" s="45"/>
      <c r="U2" s="45"/>
      <c r="V2" s="45"/>
      <c r="W2" s="45"/>
      <c r="X2" s="45"/>
      <c r="Y2" s="45"/>
      <c r="Z2" s="45"/>
    </row>
    <row r="3" customFormat="false" ht="14.25" hidden="false" customHeight="true" outlineLevel="0" collapsed="false">
      <c r="A3" s="47" t="s">
        <v>31</v>
      </c>
      <c r="B3" s="48"/>
      <c r="C3" s="49" t="s">
        <v>32</v>
      </c>
      <c r="D3" s="48"/>
      <c r="E3" s="50"/>
      <c r="F3" s="51" t="str">
        <f aca="false">CONCATENATE("ACADEMIC YEAR - ",List!$C$4)</f>
        <v>ACADEMIC YEAR - 2026-27</v>
      </c>
      <c r="G3" s="51"/>
      <c r="H3" s="51"/>
      <c r="I3" s="51"/>
      <c r="J3" s="45"/>
      <c r="K3" s="45"/>
      <c r="L3" s="45"/>
      <c r="M3" s="45"/>
      <c r="N3" s="45"/>
      <c r="O3" s="45"/>
      <c r="P3" s="45"/>
      <c r="Q3" s="45"/>
      <c r="R3" s="45"/>
      <c r="S3" s="45"/>
      <c r="T3" s="45"/>
      <c r="U3" s="45"/>
      <c r="V3" s="45"/>
      <c r="W3" s="45"/>
      <c r="X3" s="45"/>
      <c r="Y3" s="45"/>
      <c r="Z3" s="45"/>
    </row>
    <row r="4" customFormat="false" ht="14.25" hidden="false" customHeight="true" outlineLevel="0" collapsed="false">
      <c r="A4" s="52" t="s">
        <v>7</v>
      </c>
      <c r="B4" s="53" t="s">
        <v>8</v>
      </c>
      <c r="C4" s="53"/>
      <c r="D4" s="53"/>
      <c r="E4" s="54"/>
      <c r="F4" s="55" t="s">
        <v>33</v>
      </c>
      <c r="G4" s="55"/>
      <c r="H4" s="55"/>
      <c r="I4" s="55"/>
      <c r="J4" s="45"/>
      <c r="K4" s="45"/>
      <c r="L4" s="45"/>
      <c r="M4" s="45"/>
      <c r="N4" s="45"/>
      <c r="O4" s="45"/>
      <c r="P4" s="45"/>
      <c r="Q4" s="45"/>
      <c r="R4" s="45"/>
      <c r="S4" s="45"/>
      <c r="T4" s="45"/>
      <c r="U4" s="45"/>
      <c r="V4" s="45"/>
      <c r="W4" s="45"/>
      <c r="X4" s="45"/>
      <c r="Y4" s="45"/>
      <c r="Z4" s="45"/>
    </row>
    <row r="5" customFormat="false" ht="14.25" hidden="false" customHeight="true" outlineLevel="0" collapsed="false">
      <c r="A5" s="52"/>
      <c r="B5" s="56"/>
      <c r="C5" s="57"/>
      <c r="D5" s="58"/>
      <c r="E5" s="59"/>
      <c r="F5" s="60"/>
      <c r="G5" s="60"/>
      <c r="H5" s="48"/>
      <c r="I5" s="48"/>
      <c r="J5" s="45"/>
      <c r="K5" s="45"/>
      <c r="L5" s="45"/>
      <c r="M5" s="45"/>
      <c r="N5" s="45"/>
      <c r="O5" s="45"/>
      <c r="P5" s="45"/>
      <c r="Q5" s="45"/>
      <c r="R5" s="45"/>
      <c r="S5" s="45"/>
      <c r="T5" s="45"/>
      <c r="U5" s="45"/>
      <c r="V5" s="45"/>
      <c r="W5" s="45"/>
      <c r="X5" s="45"/>
      <c r="Y5" s="45"/>
      <c r="Z5" s="45"/>
    </row>
    <row r="6" customFormat="false" ht="14.25" hidden="false" customHeight="true" outlineLevel="0" collapsed="false">
      <c r="A6" s="61" t="s">
        <v>34</v>
      </c>
      <c r="B6" s="51" t="s">
        <v>35</v>
      </c>
      <c r="C6" s="51" t="s">
        <v>36</v>
      </c>
      <c r="D6" s="62" t="s">
        <v>37</v>
      </c>
      <c r="E6" s="61" t="s">
        <v>38</v>
      </c>
      <c r="F6" s="61" t="s">
        <v>39</v>
      </c>
      <c r="G6" s="61"/>
      <c r="H6" s="51" t="s">
        <v>40</v>
      </c>
      <c r="I6" s="51"/>
      <c r="J6" s="45"/>
      <c r="K6" s="45"/>
      <c r="L6" s="45"/>
      <c r="M6" s="45"/>
      <c r="N6" s="45"/>
      <c r="O6" s="45"/>
      <c r="P6" s="45"/>
      <c r="Q6" s="45"/>
      <c r="R6" s="45"/>
      <c r="S6" s="45"/>
      <c r="T6" s="45"/>
      <c r="U6" s="45"/>
      <c r="V6" s="45"/>
      <c r="W6" s="45"/>
      <c r="X6" s="45"/>
      <c r="Y6" s="45"/>
      <c r="Z6" s="45"/>
    </row>
    <row r="7" customFormat="false" ht="14.25" hidden="false" customHeight="true" outlineLevel="0" collapsed="false">
      <c r="A7" s="61"/>
      <c r="B7" s="61"/>
      <c r="C7" s="61"/>
      <c r="D7" s="52"/>
      <c r="E7" s="61"/>
      <c r="F7" s="61"/>
      <c r="G7" s="61"/>
      <c r="H7" s="51" t="s">
        <v>41</v>
      </c>
      <c r="I7" s="51" t="s">
        <v>42</v>
      </c>
      <c r="J7" s="45"/>
      <c r="K7" s="45"/>
      <c r="L7" s="45"/>
      <c r="M7" s="45"/>
      <c r="N7" s="45"/>
      <c r="O7" s="45"/>
      <c r="P7" s="45"/>
      <c r="Q7" s="45"/>
      <c r="R7" s="45"/>
      <c r="S7" s="45"/>
      <c r="T7" s="45"/>
      <c r="U7" s="45"/>
      <c r="V7" s="45"/>
      <c r="W7" s="45"/>
      <c r="X7" s="45"/>
      <c r="Y7" s="45"/>
      <c r="Z7" s="45"/>
    </row>
    <row r="8" customFormat="false" ht="14.25" hidden="false" customHeight="true" outlineLevel="0" collapsed="false">
      <c r="A8" s="63" t="n">
        <v>1</v>
      </c>
      <c r="B8" s="64" t="s">
        <v>43</v>
      </c>
      <c r="C8" s="65" t="s">
        <v>44</v>
      </c>
      <c r="D8" s="65" t="s">
        <v>45</v>
      </c>
      <c r="E8" s="66" t="n">
        <v>2500000</v>
      </c>
      <c r="F8" s="67" t="s">
        <v>46</v>
      </c>
      <c r="G8" s="67"/>
      <c r="H8" s="64"/>
      <c r="I8" s="64"/>
      <c r="J8" s="45"/>
      <c r="K8" s="45"/>
      <c r="L8" s="45"/>
      <c r="M8" s="45"/>
      <c r="N8" s="45"/>
      <c r="O8" s="45"/>
      <c r="P8" s="45"/>
      <c r="Q8" s="45"/>
      <c r="R8" s="45"/>
      <c r="S8" s="45"/>
      <c r="T8" s="45"/>
      <c r="U8" s="45"/>
      <c r="V8" s="45"/>
      <c r="W8" s="45"/>
      <c r="X8" s="45"/>
      <c r="Y8" s="45"/>
      <c r="Z8" s="45"/>
    </row>
    <row r="9" customFormat="false" ht="14.25" hidden="false" customHeight="true" outlineLevel="0" collapsed="false">
      <c r="A9" s="63" t="n">
        <f aca="false">A8+1</f>
        <v>2</v>
      </c>
      <c r="B9" s="64" t="s">
        <v>47</v>
      </c>
      <c r="C9" s="65" t="s">
        <v>48</v>
      </c>
      <c r="D9" s="65" t="s">
        <v>49</v>
      </c>
      <c r="E9" s="66" t="n">
        <v>1000000</v>
      </c>
      <c r="F9" s="68" t="s">
        <v>50</v>
      </c>
      <c r="G9" s="68"/>
      <c r="H9" s="64"/>
      <c r="I9" s="64"/>
      <c r="J9" s="45"/>
      <c r="K9" s="45"/>
      <c r="L9" s="45"/>
      <c r="M9" s="45"/>
      <c r="N9" s="45"/>
      <c r="O9" s="45"/>
      <c r="P9" s="45"/>
      <c r="Q9" s="45"/>
      <c r="R9" s="45"/>
      <c r="S9" s="45"/>
      <c r="T9" s="45"/>
      <c r="U9" s="45"/>
      <c r="V9" s="45"/>
      <c r="W9" s="45"/>
      <c r="X9" s="45"/>
      <c r="Y9" s="45"/>
      <c r="Z9" s="45"/>
    </row>
    <row r="10" customFormat="false" ht="15.75" hidden="false" customHeight="true" outlineLevel="0" collapsed="false">
      <c r="A10" s="63"/>
      <c r="B10" s="69" t="s">
        <v>51</v>
      </c>
      <c r="C10" s="70"/>
      <c r="D10" s="71"/>
      <c r="E10" s="66"/>
      <c r="F10" s="72"/>
      <c r="G10" s="73"/>
      <c r="H10" s="64"/>
      <c r="I10" s="64"/>
      <c r="J10" s="45"/>
      <c r="K10" s="45"/>
      <c r="L10" s="45"/>
      <c r="M10" s="45"/>
      <c r="N10" s="45"/>
      <c r="O10" s="45"/>
      <c r="P10" s="45"/>
      <c r="Q10" s="45"/>
      <c r="R10" s="45"/>
      <c r="S10" s="45"/>
      <c r="T10" s="45"/>
      <c r="U10" s="45"/>
      <c r="V10" s="45"/>
      <c r="W10" s="45"/>
      <c r="X10" s="45"/>
      <c r="Y10" s="45"/>
      <c r="Z10" s="45"/>
    </row>
    <row r="11" customFormat="false" ht="45.75" hidden="false" customHeight="true" outlineLevel="0" collapsed="false">
      <c r="A11" s="63" t="n">
        <f aca="false">A9+1</f>
        <v>3</v>
      </c>
      <c r="B11" s="64" t="s">
        <v>52</v>
      </c>
      <c r="C11" s="65" t="s">
        <v>53</v>
      </c>
      <c r="D11" s="71" t="s">
        <v>54</v>
      </c>
      <c r="E11" s="66"/>
      <c r="F11" s="67"/>
      <c r="G11" s="67"/>
      <c r="H11" s="64"/>
      <c r="I11" s="64"/>
      <c r="J11" s="45"/>
      <c r="K11" s="45"/>
      <c r="L11" s="45"/>
      <c r="M11" s="45"/>
      <c r="N11" s="45"/>
      <c r="O11" s="45"/>
      <c r="P11" s="45"/>
      <c r="Q11" s="45"/>
      <c r="R11" s="45"/>
      <c r="S11" s="45"/>
      <c r="T11" s="45"/>
      <c r="U11" s="45"/>
      <c r="V11" s="45"/>
      <c r="W11" s="45"/>
      <c r="X11" s="45"/>
      <c r="Y11" s="45"/>
      <c r="Z11" s="45"/>
    </row>
    <row r="12" customFormat="false" ht="14.25" hidden="false" customHeight="true" outlineLevel="0" collapsed="false">
      <c r="A12" s="63"/>
      <c r="B12" s="69" t="s">
        <v>51</v>
      </c>
      <c r="C12" s="70"/>
      <c r="D12" s="71"/>
      <c r="E12" s="66"/>
      <c r="F12" s="72"/>
      <c r="G12" s="74"/>
      <c r="H12" s="64"/>
      <c r="I12" s="64"/>
      <c r="J12" s="45"/>
      <c r="K12" s="45"/>
      <c r="L12" s="45"/>
      <c r="M12" s="45"/>
      <c r="N12" s="45"/>
      <c r="O12" s="45"/>
      <c r="P12" s="45"/>
      <c r="Q12" s="45"/>
      <c r="R12" s="45"/>
      <c r="S12" s="45"/>
      <c r="T12" s="45"/>
      <c r="U12" s="45"/>
      <c r="V12" s="45"/>
      <c r="W12" s="45"/>
      <c r="X12" s="45"/>
      <c r="Y12" s="45"/>
      <c r="Z12" s="45"/>
    </row>
    <row r="13" customFormat="false" ht="14.25" hidden="false" customHeight="true" outlineLevel="0" collapsed="false">
      <c r="A13" s="63" t="n">
        <f aca="false">A11+1</f>
        <v>4</v>
      </c>
      <c r="B13" s="64" t="s">
        <v>55</v>
      </c>
      <c r="C13" s="65" t="s">
        <v>56</v>
      </c>
      <c r="D13" s="71"/>
      <c r="E13" s="66"/>
      <c r="F13" s="66"/>
      <c r="G13" s="66"/>
      <c r="H13" s="64"/>
      <c r="I13" s="64"/>
      <c r="J13" s="45"/>
      <c r="K13" s="45"/>
      <c r="L13" s="45"/>
      <c r="M13" s="45"/>
      <c r="N13" s="45"/>
      <c r="O13" s="45"/>
      <c r="P13" s="45"/>
      <c r="Q13" s="45"/>
      <c r="R13" s="45"/>
      <c r="S13" s="45"/>
      <c r="T13" s="45"/>
      <c r="U13" s="45"/>
      <c r="V13" s="45"/>
      <c r="W13" s="45"/>
      <c r="X13" s="45"/>
      <c r="Y13" s="45"/>
      <c r="Z13" s="45"/>
    </row>
    <row r="14" customFormat="false" ht="14.25" hidden="false" customHeight="true" outlineLevel="0" collapsed="false">
      <c r="A14" s="63"/>
      <c r="B14" s="75" t="s">
        <v>57</v>
      </c>
      <c r="C14" s="70"/>
      <c r="D14" s="71"/>
      <c r="E14" s="66"/>
      <c r="F14" s="72"/>
      <c r="G14" s="73"/>
      <c r="H14" s="64"/>
      <c r="I14" s="64"/>
      <c r="J14" s="45"/>
      <c r="K14" s="45"/>
      <c r="L14" s="45"/>
      <c r="M14" s="45"/>
      <c r="N14" s="45"/>
      <c r="O14" s="45"/>
      <c r="P14" s="45"/>
      <c r="Q14" s="45"/>
      <c r="R14" s="45"/>
      <c r="S14" s="45"/>
      <c r="T14" s="45"/>
      <c r="U14" s="45"/>
      <c r="V14" s="45"/>
      <c r="W14" s="45"/>
      <c r="X14" s="45"/>
      <c r="Y14" s="45"/>
      <c r="Z14" s="45"/>
    </row>
    <row r="15" customFormat="false" ht="35.25" hidden="false" customHeight="true" outlineLevel="0" collapsed="false">
      <c r="A15" s="63"/>
      <c r="B15" s="64"/>
      <c r="C15" s="65" t="s">
        <v>58</v>
      </c>
      <c r="D15" s="71" t="s">
        <v>54</v>
      </c>
      <c r="E15" s="66"/>
      <c r="F15" s="66"/>
      <c r="G15" s="66"/>
      <c r="H15" s="64"/>
      <c r="I15" s="64"/>
      <c r="J15" s="45"/>
      <c r="K15" s="45"/>
      <c r="L15" s="45"/>
      <c r="M15" s="45"/>
      <c r="N15" s="45"/>
      <c r="O15" s="45"/>
      <c r="P15" s="45"/>
      <c r="Q15" s="45"/>
      <c r="R15" s="45"/>
      <c r="S15" s="45"/>
      <c r="T15" s="45"/>
      <c r="U15" s="45"/>
      <c r="V15" s="45"/>
      <c r="W15" s="45"/>
      <c r="X15" s="45"/>
      <c r="Y15" s="45"/>
      <c r="Z15" s="45"/>
    </row>
    <row r="16" customFormat="false" ht="14.25" hidden="false" customHeight="true" outlineLevel="0" collapsed="false">
      <c r="A16" s="63"/>
      <c r="B16" s="64"/>
      <c r="C16" s="65" t="s">
        <v>59</v>
      </c>
      <c r="D16" s="71" t="s">
        <v>60</v>
      </c>
      <c r="E16" s="66"/>
      <c r="F16" s="66"/>
      <c r="G16" s="66"/>
      <c r="H16" s="64"/>
      <c r="I16" s="64"/>
      <c r="J16" s="45"/>
      <c r="K16" s="45"/>
      <c r="L16" s="45"/>
      <c r="M16" s="45"/>
      <c r="N16" s="45"/>
      <c r="O16" s="45"/>
      <c r="P16" s="45"/>
      <c r="Q16" s="45"/>
      <c r="R16" s="45"/>
      <c r="S16" s="45"/>
      <c r="T16" s="45"/>
      <c r="U16" s="45"/>
      <c r="V16" s="45"/>
      <c r="W16" s="45"/>
      <c r="X16" s="45"/>
      <c r="Y16" s="45"/>
      <c r="Z16" s="45"/>
    </row>
    <row r="17" customFormat="false" ht="14.25" hidden="false" customHeight="true" outlineLevel="0" collapsed="false">
      <c r="A17" s="63"/>
      <c r="B17" s="64"/>
      <c r="C17" s="65"/>
      <c r="D17" s="71" t="s">
        <v>61</v>
      </c>
      <c r="E17" s="66"/>
      <c r="F17" s="66"/>
      <c r="G17" s="66"/>
      <c r="H17" s="64"/>
      <c r="I17" s="64"/>
      <c r="J17" s="45"/>
      <c r="K17" s="45"/>
      <c r="L17" s="45"/>
      <c r="M17" s="45"/>
      <c r="N17" s="45"/>
      <c r="O17" s="45"/>
      <c r="P17" s="45"/>
      <c r="Q17" s="45"/>
      <c r="R17" s="45"/>
      <c r="S17" s="45"/>
      <c r="T17" s="45"/>
      <c r="U17" s="45"/>
      <c r="V17" s="45"/>
      <c r="W17" s="45"/>
      <c r="X17" s="45"/>
      <c r="Y17" s="45"/>
      <c r="Z17" s="45"/>
    </row>
    <row r="18" customFormat="false" ht="14.25" hidden="false" customHeight="true" outlineLevel="0" collapsed="false">
      <c r="A18" s="76" t="n">
        <f aca="false">A13+1</f>
        <v>5</v>
      </c>
      <c r="B18" s="77" t="s">
        <v>62</v>
      </c>
      <c r="C18" s="65" t="s">
        <v>63</v>
      </c>
      <c r="D18" s="71" t="s">
        <v>54</v>
      </c>
      <c r="E18" s="66" t="n">
        <v>200000</v>
      </c>
      <c r="F18" s="66"/>
      <c r="G18" s="66"/>
      <c r="H18" s="64"/>
      <c r="I18" s="64"/>
      <c r="J18" s="45"/>
      <c r="K18" s="45"/>
      <c r="L18" s="45"/>
      <c r="M18" s="45"/>
      <c r="N18" s="45"/>
      <c r="O18" s="45"/>
      <c r="P18" s="45"/>
      <c r="Q18" s="45"/>
      <c r="R18" s="45"/>
      <c r="S18" s="45"/>
      <c r="T18" s="45"/>
      <c r="U18" s="45"/>
      <c r="V18" s="45"/>
      <c r="W18" s="45"/>
      <c r="X18" s="45"/>
      <c r="Y18" s="45"/>
      <c r="Z18" s="45"/>
    </row>
    <row r="19" customFormat="false" ht="14.25" hidden="false" customHeight="true" outlineLevel="0" collapsed="false">
      <c r="A19" s="76"/>
      <c r="B19" s="75" t="s">
        <v>57</v>
      </c>
      <c r="C19" s="70" t="s">
        <v>64</v>
      </c>
      <c r="D19" s="71" t="n">
        <v>100000</v>
      </c>
      <c r="E19" s="66"/>
      <c r="F19" s="72"/>
      <c r="G19" s="74"/>
      <c r="H19" s="64"/>
      <c r="I19" s="64"/>
      <c r="J19" s="45"/>
      <c r="K19" s="45"/>
      <c r="L19" s="45"/>
      <c r="M19" s="45"/>
      <c r="N19" s="45"/>
      <c r="O19" s="45"/>
      <c r="P19" s="45"/>
      <c r="Q19" s="45"/>
      <c r="R19" s="45"/>
      <c r="S19" s="45"/>
      <c r="T19" s="45"/>
      <c r="U19" s="45"/>
      <c r="V19" s="45"/>
      <c r="W19" s="45"/>
      <c r="X19" s="45"/>
      <c r="Y19" s="45"/>
      <c r="Z19" s="45"/>
    </row>
    <row r="20" customFormat="false" ht="14.25" hidden="false" customHeight="true" outlineLevel="0" collapsed="false">
      <c r="A20" s="76"/>
      <c r="B20" s="75"/>
      <c r="C20" s="70" t="s">
        <v>65</v>
      </c>
      <c r="D20" s="71" t="n">
        <v>50000</v>
      </c>
      <c r="E20" s="66"/>
      <c r="F20" s="72"/>
      <c r="G20" s="73"/>
      <c r="H20" s="64"/>
      <c r="I20" s="64"/>
      <c r="J20" s="45"/>
      <c r="K20" s="45"/>
      <c r="L20" s="45"/>
      <c r="M20" s="45"/>
      <c r="N20" s="45"/>
      <c r="O20" s="45"/>
      <c r="P20" s="45"/>
      <c r="Q20" s="45"/>
      <c r="R20" s="45"/>
      <c r="S20" s="45"/>
      <c r="T20" s="45"/>
      <c r="U20" s="45"/>
      <c r="V20" s="45"/>
      <c r="W20" s="45"/>
      <c r="X20" s="45"/>
      <c r="Y20" s="45"/>
      <c r="Z20" s="45"/>
    </row>
    <row r="21" customFormat="false" ht="14.25" hidden="false" customHeight="true" outlineLevel="0" collapsed="false">
      <c r="A21" s="76"/>
      <c r="B21" s="75"/>
      <c r="C21" s="70" t="s">
        <v>66</v>
      </c>
      <c r="D21" s="71" t="n">
        <v>50000</v>
      </c>
      <c r="E21" s="66"/>
      <c r="F21" s="72"/>
      <c r="G21" s="73"/>
      <c r="H21" s="64"/>
      <c r="I21" s="64"/>
      <c r="J21" s="45"/>
      <c r="K21" s="45"/>
      <c r="L21" s="45"/>
      <c r="M21" s="45"/>
      <c r="N21" s="45"/>
      <c r="O21" s="45"/>
      <c r="P21" s="45"/>
      <c r="Q21" s="45"/>
      <c r="R21" s="45"/>
      <c r="S21" s="45"/>
      <c r="T21" s="45"/>
      <c r="U21" s="45"/>
      <c r="V21" s="45"/>
      <c r="W21" s="45"/>
      <c r="X21" s="45"/>
      <c r="Y21" s="45"/>
      <c r="Z21" s="45"/>
    </row>
    <row r="22" customFormat="false" ht="14.25" hidden="false" customHeight="true" outlineLevel="0" collapsed="false">
      <c r="A22" s="63"/>
      <c r="B22" s="64"/>
      <c r="C22" s="65"/>
      <c r="D22" s="71" t="s">
        <v>60</v>
      </c>
      <c r="E22" s="66"/>
      <c r="F22" s="66"/>
      <c r="G22" s="66"/>
      <c r="H22" s="64"/>
      <c r="I22" s="64"/>
      <c r="J22" s="45"/>
      <c r="K22" s="45"/>
      <c r="L22" s="45"/>
      <c r="M22" s="45"/>
      <c r="N22" s="45"/>
      <c r="O22" s="45"/>
      <c r="P22" s="45"/>
      <c r="Q22" s="45"/>
      <c r="R22" s="45"/>
      <c r="S22" s="45"/>
      <c r="T22" s="45"/>
      <c r="U22" s="45"/>
      <c r="V22" s="45"/>
      <c r="W22" s="45"/>
      <c r="X22" s="45"/>
      <c r="Y22" s="45"/>
      <c r="Z22" s="45"/>
    </row>
    <row r="23" customFormat="false" ht="14.25" hidden="false" customHeight="true" outlineLevel="0" collapsed="false">
      <c r="A23" s="63"/>
      <c r="B23" s="64"/>
      <c r="C23" s="65"/>
      <c r="D23" s="71" t="s">
        <v>61</v>
      </c>
      <c r="E23" s="66"/>
      <c r="F23" s="66"/>
      <c r="G23" s="66"/>
      <c r="H23" s="64"/>
      <c r="I23" s="64"/>
      <c r="J23" s="45"/>
      <c r="K23" s="45"/>
      <c r="L23" s="45"/>
      <c r="M23" s="45"/>
      <c r="N23" s="45"/>
      <c r="O23" s="45"/>
      <c r="P23" s="45"/>
      <c r="Q23" s="45"/>
      <c r="R23" s="45"/>
      <c r="S23" s="45"/>
      <c r="T23" s="45"/>
      <c r="U23" s="45"/>
      <c r="V23" s="45"/>
      <c r="W23" s="45"/>
      <c r="X23" s="45"/>
      <c r="Y23" s="45"/>
      <c r="Z23" s="45"/>
    </row>
    <row r="24" customFormat="false" ht="14.25" hidden="false" customHeight="true" outlineLevel="0" collapsed="false">
      <c r="A24" s="63" t="n">
        <f aca="false">A18+1</f>
        <v>6</v>
      </c>
      <c r="B24" s="77" t="s">
        <v>67</v>
      </c>
      <c r="C24" s="65" t="s">
        <v>68</v>
      </c>
      <c r="D24" s="71" t="s">
        <v>54</v>
      </c>
      <c r="E24" s="66" t="n">
        <v>150000</v>
      </c>
      <c r="F24" s="66"/>
      <c r="G24" s="66"/>
      <c r="H24" s="64"/>
      <c r="I24" s="64"/>
      <c r="J24" s="45"/>
      <c r="K24" s="45"/>
      <c r="L24" s="45"/>
      <c r="M24" s="45"/>
      <c r="N24" s="45"/>
      <c r="O24" s="45"/>
      <c r="P24" s="45"/>
      <c r="Q24" s="45"/>
      <c r="R24" s="45"/>
      <c r="S24" s="45"/>
      <c r="T24" s="45"/>
      <c r="U24" s="45"/>
      <c r="V24" s="45"/>
      <c r="W24" s="45"/>
      <c r="X24" s="45"/>
      <c r="Y24" s="45"/>
      <c r="Z24" s="45"/>
    </row>
    <row r="25" customFormat="false" ht="14.25" hidden="false" customHeight="true" outlineLevel="0" collapsed="false">
      <c r="A25" s="63"/>
      <c r="B25" s="75" t="s">
        <v>57</v>
      </c>
      <c r="C25" s="70" t="s">
        <v>69</v>
      </c>
      <c r="D25" s="71"/>
      <c r="E25" s="66"/>
      <c r="F25" s="72"/>
      <c r="G25" s="73"/>
      <c r="H25" s="64"/>
      <c r="I25" s="64"/>
      <c r="J25" s="45"/>
      <c r="K25" s="45"/>
      <c r="L25" s="45"/>
      <c r="M25" s="45"/>
      <c r="N25" s="45"/>
      <c r="O25" s="45"/>
      <c r="P25" s="45"/>
      <c r="Q25" s="45"/>
      <c r="R25" s="45"/>
      <c r="S25" s="45"/>
      <c r="T25" s="45"/>
      <c r="U25" s="45"/>
      <c r="V25" s="45"/>
      <c r="W25" s="45"/>
      <c r="X25" s="45"/>
      <c r="Y25" s="45"/>
      <c r="Z25" s="45"/>
    </row>
    <row r="26" customFormat="false" ht="14.25" hidden="false" customHeight="true" outlineLevel="0" collapsed="false">
      <c r="A26" s="63" t="n">
        <f aca="false">A24+1</f>
        <v>7</v>
      </c>
      <c r="B26" s="77" t="s">
        <v>70</v>
      </c>
      <c r="C26" s="65" t="s">
        <v>71</v>
      </c>
      <c r="D26" s="71" t="s">
        <v>72</v>
      </c>
      <c r="E26" s="66" t="n">
        <v>25000</v>
      </c>
      <c r="F26" s="72"/>
      <c r="G26" s="73"/>
      <c r="H26" s="64"/>
      <c r="I26" s="64"/>
      <c r="J26" s="45"/>
      <c r="K26" s="45"/>
      <c r="L26" s="45"/>
      <c r="M26" s="45"/>
      <c r="N26" s="45"/>
      <c r="O26" s="45"/>
      <c r="P26" s="45"/>
      <c r="Q26" s="45"/>
      <c r="R26" s="45"/>
      <c r="S26" s="45"/>
      <c r="T26" s="45"/>
      <c r="U26" s="45"/>
      <c r="V26" s="45"/>
      <c r="W26" s="45"/>
      <c r="X26" s="45"/>
      <c r="Y26" s="45"/>
      <c r="Z26" s="45"/>
    </row>
    <row r="27" customFormat="false" ht="14.25" hidden="false" customHeight="true" outlineLevel="0" collapsed="false">
      <c r="A27" s="63" t="n">
        <f aca="false">A26+1</f>
        <v>8</v>
      </c>
      <c r="B27" s="77" t="s">
        <v>73</v>
      </c>
      <c r="C27" s="78" t="s">
        <v>74</v>
      </c>
      <c r="D27" s="71"/>
      <c r="E27" s="66" t="n">
        <v>450000</v>
      </c>
      <c r="F27" s="72"/>
      <c r="G27" s="73"/>
      <c r="H27" s="64"/>
      <c r="I27" s="64"/>
      <c r="J27" s="45"/>
      <c r="K27" s="45"/>
      <c r="L27" s="45"/>
      <c r="M27" s="45"/>
      <c r="N27" s="45"/>
      <c r="O27" s="45"/>
      <c r="P27" s="45"/>
      <c r="Q27" s="45"/>
      <c r="R27" s="45"/>
      <c r="S27" s="45"/>
      <c r="T27" s="45"/>
      <c r="U27" s="45"/>
      <c r="V27" s="45"/>
      <c r="W27" s="45"/>
      <c r="X27" s="45"/>
      <c r="Y27" s="45"/>
      <c r="Z27" s="45"/>
    </row>
    <row r="28" customFormat="false" ht="14.25" hidden="false" customHeight="true" outlineLevel="0" collapsed="false">
      <c r="A28" s="63" t="n">
        <v>9</v>
      </c>
      <c r="B28" s="77" t="s">
        <v>75</v>
      </c>
      <c r="C28" s="65" t="s">
        <v>76</v>
      </c>
      <c r="D28" s="71"/>
      <c r="E28" s="66" t="n">
        <v>1440000</v>
      </c>
      <c r="F28" s="72"/>
      <c r="G28" s="73"/>
      <c r="H28" s="64"/>
      <c r="I28" s="64"/>
      <c r="J28" s="45"/>
      <c r="K28" s="45"/>
      <c r="L28" s="45"/>
      <c r="M28" s="45"/>
      <c r="N28" s="45"/>
      <c r="O28" s="45"/>
      <c r="P28" s="45"/>
      <c r="Q28" s="45"/>
      <c r="R28" s="45"/>
      <c r="S28" s="45"/>
      <c r="T28" s="45"/>
      <c r="U28" s="45"/>
      <c r="V28" s="45"/>
      <c r="W28" s="45"/>
      <c r="X28" s="45"/>
      <c r="Y28" s="45"/>
      <c r="Z28" s="45"/>
    </row>
    <row r="29" customFormat="false" ht="14.25" hidden="false" customHeight="true" outlineLevel="0" collapsed="false">
      <c r="A29" s="63"/>
      <c r="B29" s="64"/>
      <c r="C29" s="65"/>
      <c r="D29" s="71"/>
      <c r="E29" s="66"/>
      <c r="F29" s="66"/>
      <c r="G29" s="66"/>
      <c r="H29" s="64"/>
      <c r="I29" s="64"/>
      <c r="J29" s="45"/>
      <c r="K29" s="45"/>
      <c r="L29" s="45"/>
      <c r="M29" s="45"/>
      <c r="N29" s="45"/>
      <c r="O29" s="45"/>
      <c r="P29" s="45"/>
      <c r="Q29" s="45"/>
      <c r="R29" s="45"/>
      <c r="S29" s="45"/>
      <c r="T29" s="45"/>
      <c r="U29" s="45"/>
      <c r="V29" s="45"/>
      <c r="W29" s="45"/>
      <c r="X29" s="45"/>
      <c r="Y29" s="45"/>
      <c r="Z29" s="45"/>
    </row>
    <row r="30" customFormat="false" ht="14.25" hidden="false" customHeight="true" outlineLevel="0" collapsed="false">
      <c r="A30" s="51" t="s">
        <v>14</v>
      </c>
      <c r="B30" s="51"/>
      <c r="C30" s="79"/>
      <c r="D30" s="71"/>
      <c r="E30" s="80" t="n">
        <f aca="false">SUM(E8:E29)</f>
        <v>5765000</v>
      </c>
      <c r="F30" s="66"/>
      <c r="G30" s="66"/>
      <c r="H30" s="80" t="n">
        <f aca="false">SUM(H8:H29)</f>
        <v>0</v>
      </c>
      <c r="I30" s="80" t="n">
        <f aca="false">SUM(I8:I29)</f>
        <v>0</v>
      </c>
      <c r="J30" s="45"/>
      <c r="K30" s="45"/>
      <c r="L30" s="45"/>
      <c r="M30" s="45"/>
      <c r="N30" s="45"/>
      <c r="O30" s="45"/>
      <c r="P30" s="45"/>
      <c r="Q30" s="45"/>
      <c r="R30" s="45"/>
      <c r="S30" s="45"/>
      <c r="T30" s="45"/>
      <c r="U30" s="45"/>
      <c r="V30" s="45"/>
      <c r="W30" s="45"/>
      <c r="X30" s="45"/>
      <c r="Y30" s="45"/>
      <c r="Z30" s="45"/>
    </row>
    <row r="31" customFormat="false" ht="14.25" hidden="false" customHeight="true" outlineLevel="0" collapsed="false">
      <c r="A31" s="81"/>
      <c r="B31" s="82"/>
      <c r="C31" s="83"/>
      <c r="D31" s="82"/>
      <c r="E31" s="82"/>
      <c r="F31" s="82"/>
      <c r="G31" s="82"/>
      <c r="H31" s="82"/>
      <c r="I31" s="84"/>
      <c r="J31" s="45"/>
      <c r="K31" s="45"/>
      <c r="L31" s="45"/>
      <c r="M31" s="45"/>
      <c r="N31" s="45"/>
      <c r="O31" s="45"/>
      <c r="P31" s="45"/>
      <c r="Q31" s="45"/>
      <c r="R31" s="45"/>
      <c r="S31" s="45"/>
      <c r="T31" s="45"/>
      <c r="U31" s="45"/>
      <c r="V31" s="45"/>
      <c r="W31" s="45"/>
      <c r="X31" s="45"/>
      <c r="Y31" s="45"/>
      <c r="Z31" s="45"/>
    </row>
    <row r="32" customFormat="false" ht="14.25" hidden="false" customHeight="true" outlineLevel="0" collapsed="false">
      <c r="A32" s="85"/>
      <c r="B32" s="56"/>
      <c r="C32" s="57"/>
      <c r="D32" s="56"/>
      <c r="E32" s="56"/>
      <c r="F32" s="56"/>
      <c r="G32" s="56"/>
      <c r="H32" s="56"/>
      <c r="I32" s="54"/>
      <c r="J32" s="45"/>
      <c r="K32" s="45"/>
      <c r="L32" s="45"/>
      <c r="M32" s="45"/>
      <c r="N32" s="45"/>
      <c r="O32" s="45"/>
      <c r="P32" s="45"/>
      <c r="Q32" s="45"/>
      <c r="R32" s="45"/>
      <c r="S32" s="45"/>
      <c r="T32" s="45"/>
      <c r="U32" s="45"/>
      <c r="V32" s="45"/>
      <c r="W32" s="45"/>
      <c r="X32" s="45"/>
      <c r="Y32" s="45"/>
      <c r="Z32" s="45"/>
    </row>
    <row r="33" customFormat="false" ht="14.25" hidden="false" customHeight="true" outlineLevel="0" collapsed="false">
      <c r="A33" s="86" t="s">
        <v>17</v>
      </c>
      <c r="B33" s="45"/>
      <c r="C33" s="87"/>
      <c r="D33" s="45"/>
      <c r="E33" s="45"/>
      <c r="F33" s="45"/>
      <c r="G33" s="56"/>
      <c r="H33" s="56"/>
      <c r="I33" s="54"/>
      <c r="J33" s="45"/>
      <c r="K33" s="45"/>
      <c r="L33" s="45"/>
      <c r="M33" s="45"/>
      <c r="N33" s="45"/>
      <c r="O33" s="45"/>
      <c r="P33" s="45"/>
      <c r="Q33" s="45"/>
      <c r="R33" s="45"/>
      <c r="S33" s="45"/>
      <c r="T33" s="45"/>
      <c r="U33" s="45"/>
      <c r="V33" s="45"/>
      <c r="W33" s="45"/>
      <c r="X33" s="45"/>
      <c r="Y33" s="45"/>
      <c r="Z33" s="45"/>
    </row>
    <row r="34" customFormat="false" ht="14.25" hidden="false" customHeight="true" outlineLevel="0" collapsed="false">
      <c r="A34" s="47" t="s">
        <v>18</v>
      </c>
      <c r="B34" s="60"/>
      <c r="C34" s="88"/>
      <c r="D34" s="47" t="s">
        <v>19</v>
      </c>
      <c r="E34" s="60"/>
      <c r="F34" s="89"/>
      <c r="G34" s="47" t="s">
        <v>20</v>
      </c>
      <c r="H34" s="60"/>
      <c r="I34" s="89"/>
      <c r="J34" s="90"/>
      <c r="K34" s="90"/>
      <c r="L34" s="90"/>
      <c r="M34" s="90"/>
      <c r="N34" s="90"/>
      <c r="O34" s="90"/>
      <c r="P34" s="90"/>
      <c r="Q34" s="90"/>
      <c r="R34" s="90"/>
      <c r="S34" s="90"/>
      <c r="T34" s="90"/>
      <c r="U34" s="90"/>
      <c r="V34" s="90"/>
      <c r="W34" s="90"/>
      <c r="X34" s="90"/>
      <c r="Y34" s="90"/>
      <c r="Z34" s="90"/>
    </row>
    <row r="35" customFormat="false" ht="14.25" hidden="false" customHeight="true" outlineLevel="0" collapsed="false">
      <c r="A35" s="45"/>
      <c r="B35" s="45"/>
      <c r="C35" s="87"/>
      <c r="D35" s="45"/>
      <c r="E35" s="45"/>
      <c r="F35" s="45"/>
      <c r="G35" s="45"/>
      <c r="H35" s="45"/>
      <c r="I35" s="45"/>
      <c r="J35" s="45"/>
      <c r="K35" s="45"/>
      <c r="L35" s="45"/>
      <c r="M35" s="45"/>
      <c r="N35" s="45"/>
      <c r="O35" s="45"/>
      <c r="P35" s="45"/>
      <c r="Q35" s="45"/>
      <c r="R35" s="45"/>
      <c r="S35" s="45"/>
      <c r="T35" s="45"/>
      <c r="U35" s="45"/>
      <c r="V35" s="45"/>
      <c r="W35" s="45"/>
      <c r="X35" s="45"/>
      <c r="Y35" s="45"/>
      <c r="Z35" s="45"/>
    </row>
    <row r="36" customFormat="false" ht="14.25" hidden="false" customHeight="true" outlineLevel="0" collapsed="false">
      <c r="A36" s="90" t="s">
        <v>21</v>
      </c>
      <c r="B36" s="45"/>
      <c r="C36" s="87"/>
      <c r="D36" s="45"/>
      <c r="E36" s="45"/>
      <c r="F36" s="45"/>
      <c r="G36" s="45"/>
      <c r="H36" s="45"/>
      <c r="I36" s="45"/>
      <c r="J36" s="45"/>
      <c r="K36" s="45"/>
      <c r="L36" s="45"/>
      <c r="M36" s="45"/>
      <c r="N36" s="45"/>
      <c r="O36" s="45"/>
      <c r="P36" s="45"/>
      <c r="Q36" s="45"/>
      <c r="R36" s="45"/>
      <c r="S36" s="45"/>
      <c r="T36" s="45"/>
      <c r="U36" s="45"/>
      <c r="V36" s="45"/>
      <c r="W36" s="45"/>
      <c r="X36" s="45"/>
      <c r="Y36" s="45"/>
      <c r="Z36" s="45"/>
    </row>
    <row r="37" customFormat="false" ht="14.25" hidden="false" customHeight="true" outlineLevel="0" collapsed="false">
      <c r="A37" s="45" t="s">
        <v>77</v>
      </c>
      <c r="B37" s="45"/>
      <c r="C37" s="87"/>
      <c r="D37" s="45"/>
      <c r="E37" s="45"/>
      <c r="F37" s="45"/>
      <c r="G37" s="45"/>
      <c r="H37" s="45"/>
      <c r="I37" s="45"/>
      <c r="J37" s="45"/>
      <c r="K37" s="45"/>
      <c r="L37" s="45"/>
      <c r="M37" s="45"/>
      <c r="N37" s="45"/>
      <c r="O37" s="45"/>
      <c r="P37" s="45"/>
      <c r="Q37" s="45"/>
      <c r="R37" s="45"/>
      <c r="S37" s="45"/>
      <c r="T37" s="45"/>
      <c r="U37" s="45"/>
      <c r="V37" s="45"/>
      <c r="W37" s="45"/>
      <c r="X37" s="45"/>
      <c r="Y37" s="45"/>
      <c r="Z37" s="45"/>
    </row>
    <row r="38" customFormat="false" ht="14.25" hidden="false" customHeight="true" outlineLevel="0" collapsed="false">
      <c r="A38" s="45" t="s">
        <v>78</v>
      </c>
      <c r="B38" s="45"/>
      <c r="C38" s="87"/>
      <c r="D38" s="45"/>
      <c r="E38" s="45"/>
      <c r="F38" s="45"/>
      <c r="G38" s="45"/>
      <c r="H38" s="45"/>
      <c r="I38" s="45"/>
      <c r="J38" s="45"/>
      <c r="K38" s="45"/>
      <c r="L38" s="45"/>
      <c r="M38" s="45"/>
      <c r="N38" s="45"/>
      <c r="O38" s="45"/>
      <c r="P38" s="45"/>
      <c r="Q38" s="45"/>
      <c r="R38" s="45"/>
      <c r="S38" s="45"/>
      <c r="T38" s="45"/>
      <c r="U38" s="45"/>
      <c r="V38" s="45"/>
      <c r="W38" s="45"/>
      <c r="X38" s="45"/>
      <c r="Y38" s="45"/>
      <c r="Z38" s="45"/>
    </row>
    <row r="39" customFormat="false" ht="14.25" hidden="false" customHeight="true" outlineLevel="0" collapsed="false">
      <c r="A39" s="90" t="s">
        <v>79</v>
      </c>
      <c r="B39" s="45"/>
      <c r="C39" s="87"/>
      <c r="D39" s="45"/>
      <c r="E39" s="45"/>
      <c r="F39" s="45"/>
      <c r="G39" s="45"/>
      <c r="H39" s="45"/>
      <c r="I39" s="45"/>
      <c r="J39" s="45"/>
      <c r="K39" s="45"/>
      <c r="L39" s="45"/>
      <c r="M39" s="45"/>
      <c r="N39" s="45"/>
      <c r="O39" s="45"/>
      <c r="P39" s="45"/>
      <c r="Q39" s="45"/>
      <c r="R39" s="45"/>
      <c r="S39" s="45"/>
      <c r="T39" s="45"/>
      <c r="U39" s="45"/>
      <c r="V39" s="45"/>
      <c r="W39" s="45"/>
      <c r="X39" s="45"/>
      <c r="Y39" s="45"/>
      <c r="Z39" s="45"/>
    </row>
    <row r="40" customFormat="false" ht="14.25" hidden="false" customHeight="true" outlineLevel="0" collapsed="false">
      <c r="A40" s="90" t="s">
        <v>80</v>
      </c>
      <c r="B40" s="45"/>
      <c r="C40" s="87"/>
      <c r="D40" s="45"/>
      <c r="E40" s="45"/>
      <c r="F40" s="45"/>
      <c r="G40" s="45"/>
      <c r="H40" s="45"/>
      <c r="I40" s="45"/>
      <c r="J40" s="45"/>
      <c r="K40" s="45"/>
      <c r="L40" s="45"/>
      <c r="M40" s="45"/>
      <c r="N40" s="45"/>
      <c r="O40" s="45"/>
      <c r="P40" s="45"/>
      <c r="Q40" s="45"/>
      <c r="R40" s="45"/>
      <c r="S40" s="45"/>
      <c r="T40" s="45"/>
      <c r="U40" s="45"/>
      <c r="V40" s="45"/>
      <c r="W40" s="45"/>
      <c r="X40" s="45"/>
      <c r="Y40" s="45"/>
      <c r="Z40" s="45"/>
    </row>
    <row r="41" customFormat="false" ht="14.25" hidden="false" customHeight="true" outlineLevel="0" collapsed="false">
      <c r="A41" s="90" t="s">
        <v>81</v>
      </c>
      <c r="B41" s="45"/>
      <c r="C41" s="87"/>
      <c r="D41" s="45"/>
      <c r="E41" s="45"/>
      <c r="F41" s="45"/>
      <c r="G41" s="45"/>
      <c r="H41" s="45"/>
      <c r="I41" s="45"/>
      <c r="J41" s="45"/>
      <c r="K41" s="45"/>
      <c r="L41" s="45"/>
      <c r="M41" s="45"/>
      <c r="N41" s="45"/>
      <c r="O41" s="45"/>
      <c r="P41" s="45"/>
      <c r="Q41" s="45"/>
      <c r="R41" s="45"/>
      <c r="S41" s="45"/>
      <c r="T41" s="45"/>
      <c r="U41" s="45"/>
      <c r="V41" s="45"/>
      <c r="W41" s="45"/>
      <c r="X41" s="45"/>
      <c r="Y41" s="45"/>
      <c r="Z41" s="45"/>
    </row>
    <row r="42" customFormat="false" ht="14.25" hidden="false" customHeight="true" outlineLevel="0" collapsed="false">
      <c r="A42" s="45" t="s">
        <v>82</v>
      </c>
      <c r="B42" s="45"/>
      <c r="C42" s="87"/>
      <c r="D42" s="45"/>
      <c r="E42" s="45"/>
      <c r="F42" s="45"/>
      <c r="G42" s="45"/>
      <c r="H42" s="45"/>
      <c r="I42" s="45"/>
      <c r="J42" s="45"/>
      <c r="K42" s="45"/>
      <c r="L42" s="45"/>
      <c r="M42" s="45"/>
      <c r="N42" s="45"/>
      <c r="O42" s="45"/>
      <c r="P42" s="45"/>
      <c r="Q42" s="45"/>
      <c r="R42" s="45"/>
      <c r="S42" s="45"/>
      <c r="T42" s="45"/>
      <c r="U42" s="45"/>
      <c r="V42" s="45"/>
      <c r="W42" s="45"/>
      <c r="X42" s="45"/>
      <c r="Y42" s="45"/>
      <c r="Z42" s="45"/>
    </row>
    <row r="43" customFormat="false" ht="14.25" hidden="false" customHeight="true" outlineLevel="0" collapsed="false">
      <c r="A43" s="45" t="s">
        <v>83</v>
      </c>
      <c r="B43" s="45"/>
      <c r="C43" s="87"/>
      <c r="D43" s="45"/>
      <c r="E43" s="45"/>
      <c r="F43" s="45"/>
      <c r="G43" s="45"/>
      <c r="H43" s="45"/>
      <c r="I43" s="45"/>
      <c r="J43" s="45"/>
      <c r="K43" s="45"/>
      <c r="L43" s="45"/>
      <c r="M43" s="45"/>
      <c r="N43" s="45"/>
      <c r="O43" s="45"/>
      <c r="P43" s="45"/>
      <c r="Q43" s="45"/>
      <c r="R43" s="45"/>
      <c r="S43" s="45"/>
      <c r="T43" s="45"/>
      <c r="U43" s="45"/>
      <c r="V43" s="45"/>
      <c r="W43" s="45"/>
      <c r="X43" s="45"/>
      <c r="Y43" s="45"/>
      <c r="Z43" s="45"/>
    </row>
    <row r="44" customFormat="false" ht="14.25" hidden="false" customHeight="true" outlineLevel="0" collapsed="false">
      <c r="A44" s="45" t="s">
        <v>84</v>
      </c>
      <c r="B44" s="45"/>
      <c r="C44" s="87"/>
      <c r="D44" s="45"/>
      <c r="E44" s="45"/>
      <c r="F44" s="45"/>
      <c r="G44" s="45"/>
      <c r="H44" s="45"/>
      <c r="I44" s="45"/>
      <c r="J44" s="45"/>
      <c r="K44" s="45"/>
      <c r="L44" s="45"/>
      <c r="M44" s="45"/>
      <c r="N44" s="45"/>
      <c r="O44" s="45"/>
      <c r="P44" s="45"/>
      <c r="Q44" s="45"/>
      <c r="R44" s="45"/>
      <c r="S44" s="45"/>
      <c r="T44" s="45"/>
      <c r="U44" s="45"/>
      <c r="V44" s="45"/>
      <c r="W44" s="45"/>
      <c r="X44" s="45"/>
      <c r="Y44" s="45"/>
      <c r="Z44" s="45"/>
    </row>
    <row r="45" customFormat="false" ht="14.25" hidden="false" customHeight="true" outlineLevel="0" collapsed="false">
      <c r="A45" s="45" t="s">
        <v>85</v>
      </c>
      <c r="B45" s="45"/>
      <c r="C45" s="87"/>
      <c r="D45" s="45"/>
      <c r="E45" s="45"/>
      <c r="F45" s="45"/>
      <c r="G45" s="45"/>
      <c r="H45" s="45"/>
      <c r="I45" s="45"/>
      <c r="J45" s="45"/>
      <c r="K45" s="45"/>
      <c r="L45" s="45"/>
      <c r="M45" s="45"/>
      <c r="N45" s="45"/>
      <c r="O45" s="45"/>
      <c r="P45" s="45"/>
      <c r="Q45" s="45"/>
      <c r="R45" s="45"/>
      <c r="S45" s="45"/>
      <c r="T45" s="45"/>
      <c r="U45" s="45"/>
      <c r="V45" s="45"/>
      <c r="W45" s="45"/>
      <c r="X45" s="45"/>
      <c r="Y45" s="45"/>
      <c r="Z45" s="45"/>
    </row>
    <row r="46" customFormat="false" ht="14.25" hidden="false" customHeight="true" outlineLevel="0" collapsed="false">
      <c r="A46" s="45" t="s">
        <v>86</v>
      </c>
      <c r="B46" s="45"/>
      <c r="C46" s="87"/>
      <c r="D46" s="45"/>
      <c r="E46" s="45"/>
      <c r="F46" s="45"/>
      <c r="G46" s="45"/>
      <c r="H46" s="45"/>
      <c r="I46" s="45"/>
      <c r="J46" s="45"/>
      <c r="K46" s="45"/>
      <c r="L46" s="45"/>
      <c r="M46" s="45"/>
      <c r="N46" s="45"/>
      <c r="O46" s="45"/>
      <c r="P46" s="45"/>
      <c r="Q46" s="45"/>
      <c r="R46" s="45"/>
      <c r="S46" s="45"/>
      <c r="T46" s="45"/>
      <c r="U46" s="45"/>
      <c r="V46" s="45"/>
      <c r="W46" s="45"/>
      <c r="X46" s="45"/>
      <c r="Y46" s="45"/>
      <c r="Z46" s="45"/>
    </row>
    <row r="47" customFormat="false" ht="14.25" hidden="false" customHeight="true" outlineLevel="0" collapsed="false">
      <c r="A47" s="45" t="s">
        <v>87</v>
      </c>
      <c r="B47" s="45"/>
      <c r="C47" s="87"/>
      <c r="D47" s="45"/>
      <c r="E47" s="45"/>
      <c r="F47" s="45"/>
      <c r="G47" s="45"/>
      <c r="H47" s="45"/>
      <c r="I47" s="45"/>
      <c r="J47" s="45"/>
      <c r="K47" s="45"/>
      <c r="L47" s="45"/>
      <c r="M47" s="45"/>
      <c r="N47" s="45"/>
      <c r="O47" s="45"/>
      <c r="P47" s="45"/>
      <c r="Q47" s="45"/>
      <c r="R47" s="45"/>
      <c r="S47" s="45"/>
      <c r="T47" s="45"/>
      <c r="U47" s="45"/>
      <c r="V47" s="45"/>
      <c r="W47" s="45"/>
      <c r="X47" s="45"/>
      <c r="Y47" s="45"/>
      <c r="Z47" s="45"/>
    </row>
    <row r="48" customFormat="false" ht="14.25" hidden="false" customHeight="true" outlineLevel="0" collapsed="false">
      <c r="A48" s="45" t="s">
        <v>88</v>
      </c>
      <c r="B48" s="45"/>
      <c r="C48" s="87"/>
      <c r="D48" s="45"/>
      <c r="E48" s="45"/>
      <c r="F48" s="45"/>
      <c r="G48" s="45"/>
      <c r="H48" s="45"/>
      <c r="I48" s="45"/>
      <c r="J48" s="45"/>
      <c r="K48" s="45"/>
      <c r="L48" s="45"/>
      <c r="M48" s="45"/>
      <c r="N48" s="45"/>
      <c r="O48" s="45"/>
      <c r="P48" s="45"/>
      <c r="Q48" s="45"/>
      <c r="R48" s="45"/>
      <c r="S48" s="45"/>
      <c r="T48" s="45"/>
      <c r="U48" s="45"/>
      <c r="V48" s="45"/>
      <c r="W48" s="45"/>
      <c r="X48" s="45"/>
      <c r="Y48" s="45"/>
      <c r="Z48" s="45"/>
    </row>
    <row r="49" customFormat="false" ht="14.25" hidden="false" customHeight="true" outlineLevel="0" collapsed="false">
      <c r="A49" s="45"/>
      <c r="B49" s="45"/>
      <c r="C49" s="87"/>
      <c r="D49" s="45"/>
      <c r="E49" s="45"/>
      <c r="F49" s="45"/>
      <c r="G49" s="45"/>
      <c r="H49" s="45"/>
      <c r="I49" s="45"/>
      <c r="J49" s="45"/>
      <c r="K49" s="45"/>
      <c r="L49" s="45"/>
      <c r="M49" s="45"/>
      <c r="N49" s="45"/>
      <c r="O49" s="45"/>
      <c r="P49" s="45"/>
      <c r="Q49" s="45"/>
      <c r="R49" s="45"/>
      <c r="S49" s="45"/>
      <c r="T49" s="45"/>
      <c r="U49" s="45"/>
      <c r="V49" s="45"/>
      <c r="W49" s="45"/>
      <c r="X49" s="45"/>
      <c r="Y49" s="45"/>
      <c r="Z49" s="45"/>
    </row>
    <row r="50" customFormat="false" ht="14.25" hidden="false" customHeight="true" outlineLevel="0" collapsed="false">
      <c r="A50" s="45"/>
      <c r="B50" s="45"/>
      <c r="C50" s="87"/>
      <c r="D50" s="45"/>
      <c r="E50" s="45"/>
      <c r="F50" s="45"/>
      <c r="G50" s="45"/>
      <c r="H50" s="45"/>
      <c r="I50" s="45"/>
      <c r="J50" s="45"/>
      <c r="K50" s="45"/>
      <c r="L50" s="45"/>
      <c r="M50" s="45"/>
      <c r="N50" s="45"/>
      <c r="O50" s="45"/>
      <c r="P50" s="45"/>
      <c r="Q50" s="45"/>
      <c r="R50" s="45"/>
      <c r="S50" s="45"/>
      <c r="T50" s="45"/>
      <c r="U50" s="45"/>
      <c r="V50" s="45"/>
      <c r="W50" s="45"/>
      <c r="X50" s="45"/>
      <c r="Y50" s="45"/>
      <c r="Z50" s="45"/>
    </row>
    <row r="51" customFormat="false" ht="14.25" hidden="false" customHeight="true" outlineLevel="0" collapsed="false">
      <c r="A51" s="45"/>
      <c r="B51" s="45"/>
      <c r="C51" s="87"/>
      <c r="D51" s="45"/>
      <c r="E51" s="45"/>
      <c r="F51" s="45"/>
      <c r="G51" s="45"/>
      <c r="H51" s="45"/>
      <c r="I51" s="45"/>
      <c r="J51" s="45"/>
      <c r="K51" s="45"/>
      <c r="L51" s="45"/>
      <c r="M51" s="45"/>
      <c r="N51" s="45"/>
      <c r="O51" s="45"/>
      <c r="P51" s="45"/>
      <c r="Q51" s="45"/>
      <c r="R51" s="45"/>
      <c r="S51" s="45"/>
      <c r="T51" s="45"/>
      <c r="U51" s="45"/>
      <c r="V51" s="45"/>
      <c r="W51" s="45"/>
      <c r="X51" s="45"/>
      <c r="Y51" s="45"/>
      <c r="Z51" s="45"/>
    </row>
    <row r="52" customFormat="false" ht="14.25" hidden="false" customHeight="true" outlineLevel="0" collapsed="false">
      <c r="A52" s="45"/>
      <c r="B52" s="45"/>
      <c r="C52" s="87"/>
      <c r="D52" s="45"/>
      <c r="E52" s="45"/>
      <c r="F52" s="45"/>
      <c r="G52" s="45"/>
      <c r="H52" s="45"/>
      <c r="I52" s="45"/>
      <c r="J52" s="45"/>
      <c r="K52" s="45"/>
      <c r="L52" s="45"/>
      <c r="M52" s="45"/>
      <c r="N52" s="45"/>
      <c r="O52" s="45"/>
      <c r="P52" s="45"/>
      <c r="Q52" s="45"/>
      <c r="R52" s="45"/>
      <c r="S52" s="45"/>
      <c r="T52" s="45"/>
      <c r="U52" s="45"/>
      <c r="V52" s="45"/>
      <c r="W52" s="45"/>
      <c r="X52" s="45"/>
      <c r="Y52" s="45"/>
      <c r="Z52" s="45"/>
    </row>
    <row r="53" customFormat="false" ht="14.25" hidden="false" customHeight="true" outlineLevel="0" collapsed="false">
      <c r="A53" s="45"/>
      <c r="B53" s="45"/>
      <c r="C53" s="87"/>
      <c r="D53" s="45"/>
      <c r="E53" s="45"/>
      <c r="F53" s="45"/>
      <c r="G53" s="45"/>
      <c r="H53" s="45"/>
      <c r="I53" s="45"/>
      <c r="J53" s="45"/>
      <c r="K53" s="45"/>
      <c r="L53" s="45"/>
      <c r="M53" s="45"/>
      <c r="N53" s="45"/>
      <c r="O53" s="45"/>
      <c r="P53" s="45"/>
      <c r="Q53" s="45"/>
      <c r="R53" s="45"/>
      <c r="S53" s="45"/>
      <c r="T53" s="45"/>
      <c r="U53" s="45"/>
      <c r="V53" s="45"/>
      <c r="W53" s="45"/>
      <c r="X53" s="45"/>
      <c r="Y53" s="45"/>
      <c r="Z53" s="45"/>
    </row>
    <row r="54" customFormat="false" ht="14.25" hidden="false" customHeight="true" outlineLevel="0" collapsed="false">
      <c r="A54" s="45"/>
      <c r="B54" s="45"/>
      <c r="C54" s="87"/>
      <c r="D54" s="45"/>
      <c r="E54" s="45"/>
      <c r="F54" s="45"/>
      <c r="G54" s="45"/>
      <c r="H54" s="45"/>
      <c r="I54" s="45"/>
      <c r="J54" s="45"/>
      <c r="K54" s="45"/>
      <c r="L54" s="45"/>
      <c r="M54" s="45"/>
      <c r="N54" s="45"/>
      <c r="O54" s="45"/>
      <c r="P54" s="45"/>
      <c r="Q54" s="45"/>
      <c r="R54" s="45"/>
      <c r="S54" s="45"/>
      <c r="T54" s="45"/>
      <c r="U54" s="45"/>
      <c r="V54" s="45"/>
      <c r="W54" s="45"/>
      <c r="X54" s="45"/>
      <c r="Y54" s="45"/>
      <c r="Z54" s="45"/>
    </row>
    <row r="55" customFormat="false" ht="14.25" hidden="false" customHeight="true" outlineLevel="0" collapsed="false">
      <c r="A55" s="45"/>
      <c r="B55" s="45"/>
      <c r="C55" s="87"/>
      <c r="D55" s="45"/>
      <c r="E55" s="45"/>
      <c r="F55" s="45"/>
      <c r="G55" s="45"/>
      <c r="H55" s="45"/>
      <c r="I55" s="45"/>
      <c r="J55" s="45"/>
      <c r="K55" s="45"/>
      <c r="L55" s="45"/>
      <c r="M55" s="45"/>
      <c r="N55" s="45"/>
      <c r="O55" s="45"/>
      <c r="P55" s="45"/>
      <c r="Q55" s="45"/>
      <c r="R55" s="45"/>
      <c r="S55" s="45"/>
      <c r="T55" s="45"/>
      <c r="U55" s="45"/>
      <c r="V55" s="45"/>
      <c r="W55" s="45"/>
      <c r="X55" s="45"/>
      <c r="Y55" s="45"/>
      <c r="Z55" s="45"/>
    </row>
    <row r="56" customFormat="false" ht="14.25" hidden="false" customHeight="true" outlineLevel="0" collapsed="false">
      <c r="A56" s="45"/>
      <c r="B56" s="45"/>
      <c r="C56" s="87"/>
      <c r="D56" s="45"/>
      <c r="E56" s="45"/>
      <c r="F56" s="45"/>
      <c r="G56" s="45"/>
      <c r="H56" s="45"/>
      <c r="I56" s="45"/>
      <c r="J56" s="45"/>
      <c r="K56" s="45"/>
      <c r="L56" s="45"/>
      <c r="M56" s="45"/>
      <c r="N56" s="45"/>
      <c r="O56" s="45"/>
      <c r="P56" s="45"/>
      <c r="Q56" s="45"/>
      <c r="R56" s="45"/>
      <c r="S56" s="45"/>
      <c r="T56" s="45"/>
      <c r="U56" s="45"/>
      <c r="V56" s="45"/>
      <c r="W56" s="45"/>
      <c r="X56" s="45"/>
      <c r="Y56" s="45"/>
      <c r="Z56" s="45"/>
    </row>
    <row r="57" customFormat="false" ht="14.25" hidden="false" customHeight="true" outlineLevel="0" collapsed="false">
      <c r="A57" s="45"/>
      <c r="B57" s="45"/>
      <c r="C57" s="87"/>
      <c r="D57" s="45"/>
      <c r="E57" s="45"/>
      <c r="F57" s="45"/>
      <c r="G57" s="45"/>
      <c r="H57" s="45"/>
      <c r="I57" s="45"/>
      <c r="J57" s="45"/>
      <c r="K57" s="45"/>
      <c r="L57" s="45"/>
      <c r="M57" s="45"/>
      <c r="N57" s="45"/>
      <c r="O57" s="45"/>
      <c r="P57" s="45"/>
      <c r="Q57" s="45"/>
      <c r="R57" s="45"/>
      <c r="S57" s="45"/>
      <c r="T57" s="45"/>
      <c r="U57" s="45"/>
      <c r="V57" s="45"/>
      <c r="W57" s="45"/>
      <c r="X57" s="45"/>
      <c r="Y57" s="45"/>
      <c r="Z57" s="45"/>
    </row>
    <row r="58" customFormat="false" ht="14.25" hidden="false" customHeight="true" outlineLevel="0" collapsed="false">
      <c r="A58" s="45"/>
      <c r="B58" s="45"/>
      <c r="C58" s="87"/>
      <c r="D58" s="45"/>
      <c r="E58" s="45"/>
      <c r="F58" s="45"/>
      <c r="G58" s="45"/>
      <c r="H58" s="45"/>
      <c r="I58" s="45"/>
      <c r="J58" s="45"/>
      <c r="K58" s="45"/>
      <c r="L58" s="45"/>
      <c r="M58" s="45"/>
      <c r="N58" s="45"/>
      <c r="O58" s="45"/>
      <c r="P58" s="45"/>
      <c r="Q58" s="45"/>
      <c r="R58" s="45"/>
      <c r="S58" s="45"/>
      <c r="T58" s="45"/>
      <c r="U58" s="45"/>
      <c r="V58" s="45"/>
      <c r="W58" s="45"/>
      <c r="X58" s="45"/>
      <c r="Y58" s="45"/>
      <c r="Z58" s="45"/>
    </row>
    <row r="59" customFormat="false" ht="14.25" hidden="false" customHeight="true" outlineLevel="0" collapsed="false">
      <c r="A59" s="45"/>
      <c r="B59" s="45"/>
      <c r="C59" s="87"/>
      <c r="D59" s="45"/>
      <c r="E59" s="45"/>
      <c r="F59" s="45"/>
      <c r="G59" s="45"/>
      <c r="H59" s="45"/>
      <c r="I59" s="45"/>
      <c r="J59" s="45"/>
      <c r="K59" s="45"/>
      <c r="L59" s="45"/>
      <c r="M59" s="45"/>
      <c r="N59" s="45"/>
      <c r="O59" s="45"/>
      <c r="P59" s="45"/>
      <c r="Q59" s="45"/>
      <c r="R59" s="45"/>
      <c r="S59" s="45"/>
      <c r="T59" s="45"/>
      <c r="U59" s="45"/>
      <c r="V59" s="45"/>
      <c r="W59" s="45"/>
      <c r="X59" s="45"/>
      <c r="Y59" s="45"/>
      <c r="Z59" s="45"/>
    </row>
    <row r="60" customFormat="false" ht="14.25" hidden="false" customHeight="true" outlineLevel="0" collapsed="false">
      <c r="A60" s="45"/>
      <c r="B60" s="45"/>
      <c r="C60" s="87"/>
      <c r="D60" s="45"/>
      <c r="E60" s="45"/>
      <c r="F60" s="45"/>
      <c r="G60" s="45"/>
      <c r="H60" s="45"/>
      <c r="I60" s="45"/>
      <c r="J60" s="45"/>
      <c r="K60" s="45"/>
      <c r="L60" s="45"/>
      <c r="M60" s="45"/>
      <c r="N60" s="45"/>
      <c r="O60" s="45"/>
      <c r="P60" s="45"/>
      <c r="Q60" s="45"/>
      <c r="R60" s="45"/>
      <c r="S60" s="45"/>
      <c r="T60" s="45"/>
      <c r="U60" s="45"/>
      <c r="V60" s="45"/>
      <c r="W60" s="45"/>
      <c r="X60" s="45"/>
      <c r="Y60" s="45"/>
      <c r="Z60" s="45"/>
    </row>
    <row r="61" customFormat="false" ht="14.25" hidden="false" customHeight="true" outlineLevel="0" collapsed="false">
      <c r="A61" s="45"/>
      <c r="B61" s="45"/>
      <c r="C61" s="87"/>
      <c r="D61" s="45"/>
      <c r="E61" s="45"/>
      <c r="F61" s="45"/>
      <c r="G61" s="45"/>
      <c r="H61" s="45"/>
      <c r="I61" s="45"/>
      <c r="J61" s="45"/>
      <c r="K61" s="45"/>
      <c r="L61" s="45"/>
      <c r="M61" s="45"/>
      <c r="N61" s="45"/>
      <c r="O61" s="45"/>
      <c r="P61" s="45"/>
      <c r="Q61" s="45"/>
      <c r="R61" s="45"/>
      <c r="S61" s="45"/>
      <c r="T61" s="45"/>
      <c r="U61" s="45"/>
      <c r="V61" s="45"/>
      <c r="W61" s="45"/>
      <c r="X61" s="45"/>
      <c r="Y61" s="45"/>
      <c r="Z61" s="45"/>
    </row>
    <row r="62" customFormat="false" ht="14.25" hidden="false" customHeight="true" outlineLevel="0" collapsed="false">
      <c r="A62" s="45"/>
      <c r="B62" s="45"/>
      <c r="C62" s="87"/>
      <c r="D62" s="45"/>
      <c r="E62" s="45"/>
      <c r="F62" s="45"/>
      <c r="G62" s="45"/>
      <c r="H62" s="45"/>
      <c r="I62" s="45"/>
      <c r="J62" s="45"/>
      <c r="K62" s="45"/>
      <c r="L62" s="45"/>
      <c r="M62" s="45"/>
      <c r="N62" s="45"/>
      <c r="O62" s="45"/>
      <c r="P62" s="45"/>
      <c r="Q62" s="45"/>
      <c r="R62" s="45"/>
      <c r="S62" s="45"/>
      <c r="T62" s="45"/>
      <c r="U62" s="45"/>
      <c r="V62" s="45"/>
      <c r="W62" s="45"/>
      <c r="X62" s="45"/>
      <c r="Y62" s="45"/>
      <c r="Z62" s="45"/>
    </row>
    <row r="63" customFormat="false" ht="14.25" hidden="false" customHeight="true" outlineLevel="0" collapsed="false">
      <c r="A63" s="45"/>
      <c r="B63" s="45"/>
      <c r="C63" s="87"/>
      <c r="D63" s="45"/>
      <c r="E63" s="45"/>
      <c r="F63" s="45"/>
      <c r="G63" s="45"/>
      <c r="H63" s="45"/>
      <c r="I63" s="45"/>
      <c r="J63" s="45"/>
      <c r="K63" s="45"/>
      <c r="L63" s="45"/>
      <c r="M63" s="45"/>
      <c r="N63" s="45"/>
      <c r="O63" s="45"/>
      <c r="P63" s="45"/>
      <c r="Q63" s="45"/>
      <c r="R63" s="45"/>
      <c r="S63" s="45"/>
      <c r="T63" s="45"/>
      <c r="U63" s="45"/>
      <c r="V63" s="45"/>
      <c r="W63" s="45"/>
      <c r="X63" s="45"/>
      <c r="Y63" s="45"/>
      <c r="Z63" s="45"/>
    </row>
    <row r="64" customFormat="false" ht="14.25" hidden="false" customHeight="true" outlineLevel="0" collapsed="false">
      <c r="A64" s="45"/>
      <c r="B64" s="45"/>
      <c r="C64" s="87"/>
      <c r="D64" s="45"/>
      <c r="E64" s="45"/>
      <c r="F64" s="45"/>
      <c r="G64" s="45"/>
      <c r="H64" s="45"/>
      <c r="I64" s="45"/>
      <c r="J64" s="45"/>
      <c r="K64" s="45"/>
      <c r="L64" s="45"/>
      <c r="M64" s="45"/>
      <c r="N64" s="45"/>
      <c r="O64" s="45"/>
      <c r="P64" s="45"/>
      <c r="Q64" s="45"/>
      <c r="R64" s="45"/>
      <c r="S64" s="45"/>
      <c r="T64" s="45"/>
      <c r="U64" s="45"/>
      <c r="V64" s="45"/>
      <c r="W64" s="45"/>
      <c r="X64" s="45"/>
      <c r="Y64" s="45"/>
      <c r="Z64" s="45"/>
    </row>
    <row r="65" customFormat="false" ht="14.25" hidden="false" customHeight="true" outlineLevel="0" collapsed="false">
      <c r="A65" s="45"/>
      <c r="B65" s="45"/>
      <c r="C65" s="87"/>
      <c r="D65" s="45"/>
      <c r="E65" s="45"/>
      <c r="F65" s="45"/>
      <c r="G65" s="45"/>
      <c r="H65" s="45"/>
      <c r="I65" s="45"/>
      <c r="J65" s="45"/>
      <c r="K65" s="45"/>
      <c r="L65" s="45"/>
      <c r="M65" s="45"/>
      <c r="N65" s="45"/>
      <c r="O65" s="45"/>
      <c r="P65" s="45"/>
      <c r="Q65" s="45"/>
      <c r="R65" s="45"/>
      <c r="S65" s="45"/>
      <c r="T65" s="45"/>
      <c r="U65" s="45"/>
      <c r="V65" s="45"/>
      <c r="W65" s="45"/>
      <c r="X65" s="45"/>
      <c r="Y65" s="45"/>
      <c r="Z65" s="45"/>
    </row>
    <row r="66" customFormat="false" ht="14.25" hidden="false" customHeight="true" outlineLevel="0" collapsed="false">
      <c r="A66" s="45"/>
      <c r="B66" s="45"/>
      <c r="C66" s="87"/>
      <c r="D66" s="45"/>
      <c r="E66" s="45"/>
      <c r="F66" s="45"/>
      <c r="G66" s="45"/>
      <c r="H66" s="45"/>
      <c r="I66" s="45"/>
      <c r="J66" s="45"/>
      <c r="K66" s="45"/>
      <c r="L66" s="45"/>
      <c r="M66" s="45"/>
      <c r="N66" s="45"/>
      <c r="O66" s="45"/>
      <c r="P66" s="45"/>
      <c r="Q66" s="45"/>
      <c r="R66" s="45"/>
      <c r="S66" s="45"/>
      <c r="T66" s="45"/>
      <c r="U66" s="45"/>
      <c r="V66" s="45"/>
      <c r="W66" s="45"/>
      <c r="X66" s="45"/>
      <c r="Y66" s="45"/>
      <c r="Z66" s="45"/>
    </row>
    <row r="67" customFormat="false" ht="14.25" hidden="false" customHeight="true" outlineLevel="0" collapsed="false">
      <c r="A67" s="45"/>
      <c r="B67" s="45"/>
      <c r="C67" s="87"/>
      <c r="D67" s="45"/>
      <c r="E67" s="45"/>
      <c r="F67" s="45"/>
      <c r="G67" s="45"/>
      <c r="H67" s="45"/>
      <c r="I67" s="45"/>
      <c r="J67" s="45"/>
      <c r="K67" s="45"/>
      <c r="L67" s="45"/>
      <c r="M67" s="45"/>
      <c r="N67" s="45"/>
      <c r="O67" s="45"/>
      <c r="P67" s="45"/>
      <c r="Q67" s="45"/>
      <c r="R67" s="45"/>
      <c r="S67" s="45"/>
      <c r="T67" s="45"/>
      <c r="U67" s="45"/>
      <c r="V67" s="45"/>
      <c r="W67" s="45"/>
      <c r="X67" s="45"/>
      <c r="Y67" s="45"/>
      <c r="Z67" s="45"/>
    </row>
    <row r="68" customFormat="false" ht="14.25" hidden="false" customHeight="true" outlineLevel="0" collapsed="false">
      <c r="A68" s="45"/>
      <c r="B68" s="45"/>
      <c r="C68" s="87"/>
      <c r="D68" s="45"/>
      <c r="E68" s="45"/>
      <c r="F68" s="45"/>
      <c r="G68" s="45"/>
      <c r="H68" s="45"/>
      <c r="I68" s="45"/>
      <c r="J68" s="45"/>
      <c r="K68" s="45"/>
      <c r="L68" s="45"/>
      <c r="M68" s="45"/>
      <c r="N68" s="45"/>
      <c r="O68" s="45"/>
      <c r="P68" s="45"/>
      <c r="Q68" s="45"/>
      <c r="R68" s="45"/>
      <c r="S68" s="45"/>
      <c r="T68" s="45"/>
      <c r="U68" s="45"/>
      <c r="V68" s="45"/>
      <c r="W68" s="45"/>
      <c r="X68" s="45"/>
      <c r="Y68" s="45"/>
      <c r="Z68" s="45"/>
    </row>
    <row r="69" customFormat="false" ht="14.25" hidden="false" customHeight="true" outlineLevel="0" collapsed="false">
      <c r="A69" s="45"/>
      <c r="B69" s="45"/>
      <c r="C69" s="87"/>
      <c r="D69" s="45"/>
      <c r="E69" s="45"/>
      <c r="F69" s="45"/>
      <c r="G69" s="45"/>
      <c r="H69" s="45"/>
      <c r="I69" s="45"/>
      <c r="J69" s="45"/>
      <c r="K69" s="45"/>
      <c r="L69" s="45"/>
      <c r="M69" s="45"/>
      <c r="N69" s="45"/>
      <c r="O69" s="45"/>
      <c r="P69" s="45"/>
      <c r="Q69" s="45"/>
      <c r="R69" s="45"/>
      <c r="S69" s="45"/>
      <c r="T69" s="45"/>
      <c r="U69" s="45"/>
      <c r="V69" s="45"/>
      <c r="W69" s="45"/>
      <c r="X69" s="45"/>
      <c r="Y69" s="45"/>
      <c r="Z69" s="45"/>
    </row>
    <row r="70" customFormat="false" ht="14.25" hidden="false" customHeight="true" outlineLevel="0" collapsed="false">
      <c r="A70" s="45"/>
      <c r="B70" s="45"/>
      <c r="C70" s="87"/>
      <c r="D70" s="45"/>
      <c r="E70" s="45"/>
      <c r="F70" s="45"/>
      <c r="G70" s="45"/>
      <c r="H70" s="45"/>
      <c r="I70" s="45"/>
      <c r="J70" s="45"/>
      <c r="K70" s="45"/>
      <c r="L70" s="45"/>
      <c r="M70" s="45"/>
      <c r="N70" s="45"/>
      <c r="O70" s="45"/>
      <c r="P70" s="45"/>
      <c r="Q70" s="45"/>
      <c r="R70" s="45"/>
      <c r="S70" s="45"/>
      <c r="T70" s="45"/>
      <c r="U70" s="45"/>
      <c r="V70" s="45"/>
      <c r="W70" s="45"/>
      <c r="X70" s="45"/>
      <c r="Y70" s="45"/>
      <c r="Z70" s="45"/>
    </row>
    <row r="71" customFormat="false" ht="14.25" hidden="false" customHeight="true" outlineLevel="0" collapsed="false">
      <c r="A71" s="45"/>
      <c r="B71" s="45"/>
      <c r="C71" s="87"/>
      <c r="D71" s="45"/>
      <c r="E71" s="45"/>
      <c r="F71" s="45"/>
      <c r="G71" s="45"/>
      <c r="H71" s="45"/>
      <c r="I71" s="45"/>
      <c r="J71" s="45"/>
      <c r="K71" s="45"/>
      <c r="L71" s="45"/>
      <c r="M71" s="45"/>
      <c r="N71" s="45"/>
      <c r="O71" s="45"/>
      <c r="P71" s="45"/>
      <c r="Q71" s="45"/>
      <c r="R71" s="45"/>
      <c r="S71" s="45"/>
      <c r="T71" s="45"/>
      <c r="U71" s="45"/>
      <c r="V71" s="45"/>
      <c r="W71" s="45"/>
      <c r="X71" s="45"/>
      <c r="Y71" s="45"/>
      <c r="Z71" s="45"/>
    </row>
    <row r="72" customFormat="false" ht="14.25" hidden="false" customHeight="true" outlineLevel="0" collapsed="false">
      <c r="A72" s="45"/>
      <c r="B72" s="45"/>
      <c r="C72" s="87"/>
      <c r="D72" s="45"/>
      <c r="E72" s="45"/>
      <c r="F72" s="45"/>
      <c r="G72" s="45"/>
      <c r="H72" s="45"/>
      <c r="I72" s="45"/>
      <c r="J72" s="45"/>
      <c r="K72" s="45"/>
      <c r="L72" s="45"/>
      <c r="M72" s="45"/>
      <c r="N72" s="45"/>
      <c r="O72" s="45"/>
      <c r="P72" s="45"/>
      <c r="Q72" s="45"/>
      <c r="R72" s="45"/>
      <c r="S72" s="45"/>
      <c r="T72" s="45"/>
      <c r="U72" s="45"/>
      <c r="V72" s="45"/>
      <c r="W72" s="45"/>
      <c r="X72" s="45"/>
      <c r="Y72" s="45"/>
      <c r="Z72" s="45"/>
    </row>
    <row r="73" customFormat="false" ht="14.25" hidden="false" customHeight="true" outlineLevel="0" collapsed="false">
      <c r="A73" s="45"/>
      <c r="B73" s="45"/>
      <c r="C73" s="87"/>
      <c r="D73" s="45"/>
      <c r="E73" s="45"/>
      <c r="F73" s="45"/>
      <c r="G73" s="45"/>
      <c r="H73" s="45"/>
      <c r="I73" s="45"/>
      <c r="J73" s="45"/>
      <c r="K73" s="45"/>
      <c r="L73" s="45"/>
      <c r="M73" s="45"/>
      <c r="N73" s="45"/>
      <c r="O73" s="45"/>
      <c r="P73" s="45"/>
      <c r="Q73" s="45"/>
      <c r="R73" s="45"/>
      <c r="S73" s="45"/>
      <c r="T73" s="45"/>
      <c r="U73" s="45"/>
      <c r="V73" s="45"/>
      <c r="W73" s="45"/>
      <c r="X73" s="45"/>
      <c r="Y73" s="45"/>
      <c r="Z73" s="45"/>
    </row>
    <row r="74" customFormat="false" ht="14.25" hidden="false" customHeight="true" outlineLevel="0" collapsed="false">
      <c r="A74" s="45"/>
      <c r="B74" s="45"/>
      <c r="C74" s="87"/>
      <c r="D74" s="45"/>
      <c r="E74" s="45"/>
      <c r="F74" s="45"/>
      <c r="G74" s="45"/>
      <c r="H74" s="45"/>
      <c r="I74" s="45"/>
      <c r="J74" s="45"/>
      <c r="K74" s="45"/>
      <c r="L74" s="45"/>
      <c r="M74" s="45"/>
      <c r="N74" s="45"/>
      <c r="O74" s="45"/>
      <c r="P74" s="45"/>
      <c r="Q74" s="45"/>
      <c r="R74" s="45"/>
      <c r="S74" s="45"/>
      <c r="T74" s="45"/>
      <c r="U74" s="45"/>
      <c r="V74" s="45"/>
      <c r="W74" s="45"/>
      <c r="X74" s="45"/>
      <c r="Y74" s="45"/>
      <c r="Z74" s="45"/>
    </row>
    <row r="75" customFormat="false" ht="14.25" hidden="false" customHeight="true" outlineLevel="0" collapsed="false">
      <c r="A75" s="45"/>
      <c r="B75" s="45"/>
      <c r="C75" s="87"/>
      <c r="D75" s="45"/>
      <c r="E75" s="45"/>
      <c r="F75" s="45"/>
      <c r="G75" s="45"/>
      <c r="H75" s="45"/>
      <c r="I75" s="45"/>
      <c r="J75" s="45"/>
      <c r="K75" s="45"/>
      <c r="L75" s="45"/>
      <c r="M75" s="45"/>
      <c r="N75" s="45"/>
      <c r="O75" s="45"/>
      <c r="P75" s="45"/>
      <c r="Q75" s="45"/>
      <c r="R75" s="45"/>
      <c r="S75" s="45"/>
      <c r="T75" s="45"/>
      <c r="U75" s="45"/>
      <c r="V75" s="45"/>
      <c r="W75" s="45"/>
      <c r="X75" s="45"/>
      <c r="Y75" s="45"/>
      <c r="Z75" s="45"/>
    </row>
    <row r="76" customFormat="false" ht="14.25" hidden="false" customHeight="true" outlineLevel="0" collapsed="false">
      <c r="A76" s="45"/>
      <c r="B76" s="45"/>
      <c r="C76" s="87"/>
      <c r="D76" s="45"/>
      <c r="E76" s="45"/>
      <c r="F76" s="45"/>
      <c r="G76" s="45"/>
      <c r="H76" s="45"/>
      <c r="I76" s="45"/>
      <c r="J76" s="45"/>
      <c r="K76" s="45"/>
      <c r="L76" s="45"/>
      <c r="M76" s="45"/>
      <c r="N76" s="45"/>
      <c r="O76" s="45"/>
      <c r="P76" s="45"/>
      <c r="Q76" s="45"/>
      <c r="R76" s="45"/>
      <c r="S76" s="45"/>
      <c r="T76" s="45"/>
      <c r="U76" s="45"/>
      <c r="V76" s="45"/>
      <c r="W76" s="45"/>
      <c r="X76" s="45"/>
      <c r="Y76" s="45"/>
      <c r="Z76" s="45"/>
    </row>
    <row r="77" customFormat="false" ht="14.25" hidden="false" customHeight="true" outlineLevel="0" collapsed="false">
      <c r="A77" s="45"/>
      <c r="B77" s="45"/>
      <c r="C77" s="87"/>
      <c r="D77" s="45"/>
      <c r="E77" s="45"/>
      <c r="F77" s="45"/>
      <c r="G77" s="45"/>
      <c r="H77" s="45"/>
      <c r="I77" s="45"/>
      <c r="J77" s="45"/>
      <c r="K77" s="45"/>
      <c r="L77" s="45"/>
      <c r="M77" s="45"/>
      <c r="N77" s="45"/>
      <c r="O77" s="45"/>
      <c r="P77" s="45"/>
      <c r="Q77" s="45"/>
      <c r="R77" s="45"/>
      <c r="S77" s="45"/>
      <c r="T77" s="45"/>
      <c r="U77" s="45"/>
      <c r="V77" s="45"/>
      <c r="W77" s="45"/>
      <c r="X77" s="45"/>
      <c r="Y77" s="45"/>
      <c r="Z77" s="45"/>
    </row>
    <row r="78" customFormat="false" ht="14.25" hidden="false" customHeight="true" outlineLevel="0" collapsed="false">
      <c r="A78" s="45"/>
      <c r="B78" s="45"/>
      <c r="C78" s="87"/>
      <c r="D78" s="45"/>
      <c r="E78" s="45"/>
      <c r="F78" s="45"/>
      <c r="G78" s="45"/>
      <c r="H78" s="45"/>
      <c r="I78" s="45"/>
      <c r="J78" s="45"/>
      <c r="K78" s="45"/>
      <c r="L78" s="45"/>
      <c r="M78" s="45"/>
      <c r="N78" s="45"/>
      <c r="O78" s="45"/>
      <c r="P78" s="45"/>
      <c r="Q78" s="45"/>
      <c r="R78" s="45"/>
      <c r="S78" s="45"/>
      <c r="T78" s="45"/>
      <c r="U78" s="45"/>
      <c r="V78" s="45"/>
      <c r="W78" s="45"/>
      <c r="X78" s="45"/>
      <c r="Y78" s="45"/>
      <c r="Z78" s="45"/>
    </row>
    <row r="79" customFormat="false" ht="14.25" hidden="false" customHeight="true" outlineLevel="0" collapsed="false">
      <c r="A79" s="45"/>
      <c r="B79" s="45"/>
      <c r="C79" s="87"/>
      <c r="D79" s="45"/>
      <c r="E79" s="45"/>
      <c r="F79" s="45"/>
      <c r="G79" s="45"/>
      <c r="H79" s="45"/>
      <c r="I79" s="45"/>
      <c r="J79" s="45"/>
      <c r="K79" s="45"/>
      <c r="L79" s="45"/>
      <c r="M79" s="45"/>
      <c r="N79" s="45"/>
      <c r="O79" s="45"/>
      <c r="P79" s="45"/>
      <c r="Q79" s="45"/>
      <c r="R79" s="45"/>
      <c r="S79" s="45"/>
      <c r="T79" s="45"/>
      <c r="U79" s="45"/>
      <c r="V79" s="45"/>
      <c r="W79" s="45"/>
      <c r="X79" s="45"/>
      <c r="Y79" s="45"/>
      <c r="Z79" s="45"/>
    </row>
    <row r="80" customFormat="false" ht="14.25" hidden="false" customHeight="true" outlineLevel="0" collapsed="false">
      <c r="A80" s="45"/>
      <c r="B80" s="45"/>
      <c r="C80" s="87"/>
      <c r="D80" s="45"/>
      <c r="E80" s="45"/>
      <c r="F80" s="45"/>
      <c r="G80" s="45"/>
      <c r="H80" s="45"/>
      <c r="I80" s="45"/>
      <c r="J80" s="45"/>
      <c r="K80" s="45"/>
      <c r="L80" s="45"/>
      <c r="M80" s="45"/>
      <c r="N80" s="45"/>
      <c r="O80" s="45"/>
      <c r="P80" s="45"/>
      <c r="Q80" s="45"/>
      <c r="R80" s="45"/>
      <c r="S80" s="45"/>
      <c r="T80" s="45"/>
      <c r="U80" s="45"/>
      <c r="V80" s="45"/>
      <c r="W80" s="45"/>
      <c r="X80" s="45"/>
      <c r="Y80" s="45"/>
      <c r="Z80" s="45"/>
    </row>
    <row r="81" customFormat="false" ht="14.25" hidden="false" customHeight="true" outlineLevel="0" collapsed="false">
      <c r="A81" s="45"/>
      <c r="B81" s="45"/>
      <c r="C81" s="87"/>
      <c r="D81" s="45"/>
      <c r="E81" s="45"/>
      <c r="F81" s="45"/>
      <c r="G81" s="45"/>
      <c r="H81" s="45"/>
      <c r="I81" s="45"/>
      <c r="J81" s="45"/>
      <c r="K81" s="45"/>
      <c r="L81" s="45"/>
      <c r="M81" s="45"/>
      <c r="N81" s="45"/>
      <c r="O81" s="45"/>
      <c r="P81" s="45"/>
      <c r="Q81" s="45"/>
      <c r="R81" s="45"/>
      <c r="S81" s="45"/>
      <c r="T81" s="45"/>
      <c r="U81" s="45"/>
      <c r="V81" s="45"/>
      <c r="W81" s="45"/>
      <c r="X81" s="45"/>
      <c r="Y81" s="45"/>
      <c r="Z81" s="45"/>
    </row>
    <row r="82" customFormat="false" ht="14.25" hidden="false" customHeight="true" outlineLevel="0" collapsed="false">
      <c r="A82" s="45"/>
      <c r="B82" s="45"/>
      <c r="C82" s="87"/>
      <c r="D82" s="45"/>
      <c r="E82" s="45"/>
      <c r="F82" s="45"/>
      <c r="G82" s="45"/>
      <c r="H82" s="45"/>
      <c r="I82" s="45"/>
      <c r="J82" s="45"/>
      <c r="K82" s="45"/>
      <c r="L82" s="45"/>
      <c r="M82" s="45"/>
      <c r="N82" s="45"/>
      <c r="O82" s="45"/>
      <c r="P82" s="45"/>
      <c r="Q82" s="45"/>
      <c r="R82" s="45"/>
      <c r="S82" s="45"/>
      <c r="T82" s="45"/>
      <c r="U82" s="45"/>
      <c r="V82" s="45"/>
      <c r="W82" s="45"/>
      <c r="X82" s="45"/>
      <c r="Y82" s="45"/>
      <c r="Z82" s="45"/>
    </row>
    <row r="83" customFormat="false" ht="14.25" hidden="false" customHeight="true" outlineLevel="0" collapsed="false">
      <c r="A83" s="45"/>
      <c r="B83" s="45"/>
      <c r="C83" s="87"/>
      <c r="D83" s="45"/>
      <c r="E83" s="45"/>
      <c r="F83" s="45"/>
      <c r="G83" s="45"/>
      <c r="H83" s="45"/>
      <c r="I83" s="45"/>
      <c r="J83" s="45"/>
      <c r="K83" s="45"/>
      <c r="L83" s="45"/>
      <c r="M83" s="45"/>
      <c r="N83" s="45"/>
      <c r="O83" s="45"/>
      <c r="P83" s="45"/>
      <c r="Q83" s="45"/>
      <c r="R83" s="45"/>
      <c r="S83" s="45"/>
      <c r="T83" s="45"/>
      <c r="U83" s="45"/>
      <c r="V83" s="45"/>
      <c r="W83" s="45"/>
      <c r="X83" s="45"/>
      <c r="Y83" s="45"/>
      <c r="Z83" s="45"/>
    </row>
    <row r="84" customFormat="false" ht="14.25" hidden="false" customHeight="true" outlineLevel="0" collapsed="false">
      <c r="A84" s="45"/>
      <c r="B84" s="45"/>
      <c r="C84" s="87"/>
      <c r="D84" s="45"/>
      <c r="E84" s="45"/>
      <c r="F84" s="45"/>
      <c r="G84" s="45"/>
      <c r="H84" s="45"/>
      <c r="I84" s="45"/>
      <c r="J84" s="45"/>
      <c r="K84" s="45"/>
      <c r="L84" s="45"/>
      <c r="M84" s="45"/>
      <c r="N84" s="45"/>
      <c r="O84" s="45"/>
      <c r="P84" s="45"/>
      <c r="Q84" s="45"/>
      <c r="R84" s="45"/>
      <c r="S84" s="45"/>
      <c r="T84" s="45"/>
      <c r="U84" s="45"/>
      <c r="V84" s="45"/>
      <c r="W84" s="45"/>
      <c r="X84" s="45"/>
      <c r="Y84" s="45"/>
      <c r="Z84" s="45"/>
    </row>
    <row r="85" customFormat="false" ht="14.25" hidden="false" customHeight="true" outlineLevel="0" collapsed="false">
      <c r="A85" s="45"/>
      <c r="B85" s="45"/>
      <c r="C85" s="87"/>
      <c r="D85" s="45"/>
      <c r="E85" s="45"/>
      <c r="F85" s="45"/>
      <c r="G85" s="45"/>
      <c r="H85" s="45"/>
      <c r="I85" s="45"/>
      <c r="J85" s="45"/>
      <c r="K85" s="45"/>
      <c r="L85" s="45"/>
      <c r="M85" s="45"/>
      <c r="N85" s="45"/>
      <c r="O85" s="45"/>
      <c r="P85" s="45"/>
      <c r="Q85" s="45"/>
      <c r="R85" s="45"/>
      <c r="S85" s="45"/>
      <c r="T85" s="45"/>
      <c r="U85" s="45"/>
      <c r="V85" s="45"/>
      <c r="W85" s="45"/>
      <c r="X85" s="45"/>
      <c r="Y85" s="45"/>
      <c r="Z85" s="45"/>
    </row>
    <row r="86" customFormat="false" ht="14.25" hidden="false" customHeight="true" outlineLevel="0" collapsed="false">
      <c r="A86" s="45"/>
      <c r="B86" s="45"/>
      <c r="C86" s="87"/>
      <c r="D86" s="45"/>
      <c r="E86" s="45"/>
      <c r="F86" s="45"/>
      <c r="G86" s="45"/>
      <c r="H86" s="45"/>
      <c r="I86" s="45"/>
      <c r="J86" s="45"/>
      <c r="K86" s="45"/>
      <c r="L86" s="45"/>
      <c r="M86" s="45"/>
      <c r="N86" s="45"/>
      <c r="O86" s="45"/>
      <c r="P86" s="45"/>
      <c r="Q86" s="45"/>
      <c r="R86" s="45"/>
      <c r="S86" s="45"/>
      <c r="T86" s="45"/>
      <c r="U86" s="45"/>
      <c r="V86" s="45"/>
      <c r="W86" s="45"/>
      <c r="X86" s="45"/>
      <c r="Y86" s="45"/>
      <c r="Z86" s="45"/>
    </row>
    <row r="87" customFormat="false" ht="14.25" hidden="false" customHeight="true" outlineLevel="0" collapsed="false">
      <c r="A87" s="45"/>
      <c r="B87" s="45"/>
      <c r="C87" s="87"/>
      <c r="D87" s="45"/>
      <c r="E87" s="45"/>
      <c r="F87" s="45"/>
      <c r="G87" s="45"/>
      <c r="H87" s="45"/>
      <c r="I87" s="45"/>
      <c r="J87" s="45"/>
      <c r="K87" s="45"/>
      <c r="L87" s="45"/>
      <c r="M87" s="45"/>
      <c r="N87" s="45"/>
      <c r="O87" s="45"/>
      <c r="P87" s="45"/>
      <c r="Q87" s="45"/>
      <c r="R87" s="45"/>
      <c r="S87" s="45"/>
      <c r="T87" s="45"/>
      <c r="U87" s="45"/>
      <c r="V87" s="45"/>
      <c r="W87" s="45"/>
      <c r="X87" s="45"/>
      <c r="Y87" s="45"/>
      <c r="Z87" s="45"/>
    </row>
    <row r="88" customFormat="false" ht="14.25" hidden="false" customHeight="true" outlineLevel="0" collapsed="false">
      <c r="A88" s="45"/>
      <c r="B88" s="45"/>
      <c r="C88" s="87"/>
      <c r="D88" s="45"/>
      <c r="E88" s="45"/>
      <c r="F88" s="45"/>
      <c r="G88" s="45"/>
      <c r="H88" s="45"/>
      <c r="I88" s="45"/>
      <c r="J88" s="45"/>
      <c r="K88" s="45"/>
      <c r="L88" s="45"/>
      <c r="M88" s="45"/>
      <c r="N88" s="45"/>
      <c r="O88" s="45"/>
      <c r="P88" s="45"/>
      <c r="Q88" s="45"/>
      <c r="R88" s="45"/>
      <c r="S88" s="45"/>
      <c r="T88" s="45"/>
      <c r="U88" s="45"/>
      <c r="V88" s="45"/>
      <c r="W88" s="45"/>
      <c r="X88" s="45"/>
      <c r="Y88" s="45"/>
      <c r="Z88" s="45"/>
    </row>
    <row r="89" customFormat="false" ht="14.25" hidden="false" customHeight="true" outlineLevel="0" collapsed="false">
      <c r="A89" s="45"/>
      <c r="B89" s="45"/>
      <c r="C89" s="87"/>
      <c r="D89" s="45"/>
      <c r="E89" s="45"/>
      <c r="F89" s="45"/>
      <c r="G89" s="45"/>
      <c r="H89" s="45"/>
      <c r="I89" s="45"/>
      <c r="J89" s="45"/>
      <c r="K89" s="45"/>
      <c r="L89" s="45"/>
      <c r="M89" s="45"/>
      <c r="N89" s="45"/>
      <c r="O89" s="45"/>
      <c r="P89" s="45"/>
      <c r="Q89" s="45"/>
      <c r="R89" s="45"/>
      <c r="S89" s="45"/>
      <c r="T89" s="45"/>
      <c r="U89" s="45"/>
      <c r="V89" s="45"/>
      <c r="W89" s="45"/>
      <c r="X89" s="45"/>
      <c r="Y89" s="45"/>
      <c r="Z89" s="45"/>
    </row>
    <row r="90" customFormat="false" ht="14.25" hidden="false" customHeight="true" outlineLevel="0" collapsed="false">
      <c r="A90" s="45"/>
      <c r="B90" s="45"/>
      <c r="C90" s="87"/>
      <c r="D90" s="45"/>
      <c r="E90" s="45"/>
      <c r="F90" s="45"/>
      <c r="G90" s="45"/>
      <c r="H90" s="45"/>
      <c r="I90" s="45"/>
      <c r="J90" s="45"/>
      <c r="K90" s="45"/>
      <c r="L90" s="45"/>
      <c r="M90" s="45"/>
      <c r="N90" s="45"/>
      <c r="O90" s="45"/>
      <c r="P90" s="45"/>
      <c r="Q90" s="45"/>
      <c r="R90" s="45"/>
      <c r="S90" s="45"/>
      <c r="T90" s="45"/>
      <c r="U90" s="45"/>
      <c r="V90" s="45"/>
      <c r="W90" s="45"/>
      <c r="X90" s="45"/>
      <c r="Y90" s="45"/>
      <c r="Z90" s="45"/>
    </row>
    <row r="91" customFormat="false" ht="14.25" hidden="false" customHeight="true" outlineLevel="0" collapsed="false">
      <c r="A91" s="45"/>
      <c r="B91" s="45"/>
      <c r="C91" s="87"/>
      <c r="D91" s="45"/>
      <c r="E91" s="45"/>
      <c r="F91" s="45"/>
      <c r="G91" s="45"/>
      <c r="H91" s="45"/>
      <c r="I91" s="45"/>
      <c r="J91" s="45"/>
      <c r="K91" s="45"/>
      <c r="L91" s="45"/>
      <c r="M91" s="45"/>
      <c r="N91" s="45"/>
      <c r="O91" s="45"/>
      <c r="P91" s="45"/>
      <c r="Q91" s="45"/>
      <c r="R91" s="45"/>
      <c r="S91" s="45"/>
      <c r="T91" s="45"/>
      <c r="U91" s="45"/>
      <c r="V91" s="45"/>
      <c r="W91" s="45"/>
      <c r="X91" s="45"/>
      <c r="Y91" s="45"/>
      <c r="Z91" s="45"/>
    </row>
    <row r="92" customFormat="false" ht="14.25" hidden="false" customHeight="true" outlineLevel="0" collapsed="false">
      <c r="A92" s="45"/>
      <c r="B92" s="45"/>
      <c r="C92" s="87"/>
      <c r="D92" s="45"/>
      <c r="E92" s="45"/>
      <c r="F92" s="45"/>
      <c r="G92" s="45"/>
      <c r="H92" s="45"/>
      <c r="I92" s="45"/>
      <c r="J92" s="45"/>
      <c r="K92" s="45"/>
      <c r="L92" s="45"/>
      <c r="M92" s="45"/>
      <c r="N92" s="45"/>
      <c r="O92" s="45"/>
      <c r="P92" s="45"/>
      <c r="Q92" s="45"/>
      <c r="R92" s="45"/>
      <c r="S92" s="45"/>
      <c r="T92" s="45"/>
      <c r="U92" s="45"/>
      <c r="V92" s="45"/>
      <c r="W92" s="45"/>
      <c r="X92" s="45"/>
      <c r="Y92" s="45"/>
      <c r="Z92" s="45"/>
    </row>
    <row r="93" customFormat="false" ht="14.25" hidden="false" customHeight="true" outlineLevel="0" collapsed="false">
      <c r="A93" s="45"/>
      <c r="B93" s="45"/>
      <c r="C93" s="87"/>
      <c r="D93" s="45"/>
      <c r="E93" s="45"/>
      <c r="F93" s="45"/>
      <c r="G93" s="45"/>
      <c r="H93" s="45"/>
      <c r="I93" s="45"/>
      <c r="J93" s="45"/>
      <c r="K93" s="45"/>
      <c r="L93" s="45"/>
      <c r="M93" s="45"/>
      <c r="N93" s="45"/>
      <c r="O93" s="45"/>
      <c r="P93" s="45"/>
      <c r="Q93" s="45"/>
      <c r="R93" s="45"/>
      <c r="S93" s="45"/>
      <c r="T93" s="45"/>
      <c r="U93" s="45"/>
      <c r="V93" s="45"/>
      <c r="W93" s="45"/>
      <c r="X93" s="45"/>
      <c r="Y93" s="45"/>
      <c r="Z93" s="45"/>
    </row>
    <row r="94" customFormat="false" ht="14.25" hidden="false" customHeight="true" outlineLevel="0" collapsed="false">
      <c r="A94" s="45"/>
      <c r="B94" s="45"/>
      <c r="C94" s="87"/>
      <c r="D94" s="45"/>
      <c r="E94" s="45"/>
      <c r="F94" s="45"/>
      <c r="G94" s="45"/>
      <c r="H94" s="45"/>
      <c r="I94" s="45"/>
      <c r="J94" s="45"/>
      <c r="K94" s="45"/>
      <c r="L94" s="45"/>
      <c r="M94" s="45"/>
      <c r="N94" s="45"/>
      <c r="O94" s="45"/>
      <c r="P94" s="45"/>
      <c r="Q94" s="45"/>
      <c r="R94" s="45"/>
      <c r="S94" s="45"/>
      <c r="T94" s="45"/>
      <c r="U94" s="45"/>
      <c r="V94" s="45"/>
      <c r="W94" s="45"/>
      <c r="X94" s="45"/>
      <c r="Y94" s="45"/>
      <c r="Z94" s="45"/>
    </row>
    <row r="95" customFormat="false" ht="14.25" hidden="false" customHeight="true" outlineLevel="0" collapsed="false">
      <c r="A95" s="45"/>
      <c r="B95" s="45"/>
      <c r="C95" s="87"/>
      <c r="D95" s="45"/>
      <c r="E95" s="45"/>
      <c r="F95" s="45"/>
      <c r="G95" s="45"/>
      <c r="H95" s="45"/>
      <c r="I95" s="45"/>
      <c r="J95" s="45"/>
      <c r="K95" s="45"/>
      <c r="L95" s="45"/>
      <c r="M95" s="45"/>
      <c r="N95" s="45"/>
      <c r="O95" s="45"/>
      <c r="P95" s="45"/>
      <c r="Q95" s="45"/>
      <c r="R95" s="45"/>
      <c r="S95" s="45"/>
      <c r="T95" s="45"/>
      <c r="U95" s="45"/>
      <c r="V95" s="45"/>
      <c r="W95" s="45"/>
      <c r="X95" s="45"/>
      <c r="Y95" s="45"/>
      <c r="Z95" s="45"/>
    </row>
    <row r="96" customFormat="false" ht="14.25" hidden="false" customHeight="true" outlineLevel="0" collapsed="false">
      <c r="A96" s="45"/>
      <c r="B96" s="45"/>
      <c r="C96" s="87"/>
      <c r="D96" s="45"/>
      <c r="E96" s="45"/>
      <c r="F96" s="45"/>
      <c r="G96" s="45"/>
      <c r="H96" s="45"/>
      <c r="I96" s="45"/>
      <c r="J96" s="45"/>
      <c r="K96" s="45"/>
      <c r="L96" s="45"/>
      <c r="M96" s="45"/>
      <c r="N96" s="45"/>
      <c r="O96" s="45"/>
      <c r="P96" s="45"/>
      <c r="Q96" s="45"/>
      <c r="R96" s="45"/>
      <c r="S96" s="45"/>
      <c r="T96" s="45"/>
      <c r="U96" s="45"/>
      <c r="V96" s="45"/>
      <c r="W96" s="45"/>
      <c r="X96" s="45"/>
      <c r="Y96" s="45"/>
      <c r="Z96" s="45"/>
    </row>
    <row r="97" customFormat="false" ht="14.25" hidden="false" customHeight="true" outlineLevel="0" collapsed="false">
      <c r="A97" s="45"/>
      <c r="B97" s="45"/>
      <c r="C97" s="87"/>
      <c r="D97" s="45"/>
      <c r="E97" s="45"/>
      <c r="F97" s="45"/>
      <c r="G97" s="45"/>
      <c r="H97" s="45"/>
      <c r="I97" s="45"/>
      <c r="J97" s="45"/>
      <c r="K97" s="45"/>
      <c r="L97" s="45"/>
      <c r="M97" s="45"/>
      <c r="N97" s="45"/>
      <c r="O97" s="45"/>
      <c r="P97" s="45"/>
      <c r="Q97" s="45"/>
      <c r="R97" s="45"/>
      <c r="S97" s="45"/>
      <c r="T97" s="45"/>
      <c r="U97" s="45"/>
      <c r="V97" s="45"/>
      <c r="W97" s="45"/>
      <c r="X97" s="45"/>
      <c r="Y97" s="45"/>
      <c r="Z97" s="45"/>
    </row>
    <row r="98" customFormat="false" ht="14.25" hidden="false" customHeight="true" outlineLevel="0" collapsed="false">
      <c r="A98" s="45"/>
      <c r="B98" s="45"/>
      <c r="C98" s="87"/>
      <c r="D98" s="45"/>
      <c r="E98" s="45"/>
      <c r="F98" s="45"/>
      <c r="G98" s="45"/>
      <c r="H98" s="45"/>
      <c r="I98" s="45"/>
      <c r="J98" s="45"/>
      <c r="K98" s="45"/>
      <c r="L98" s="45"/>
      <c r="M98" s="45"/>
      <c r="N98" s="45"/>
      <c r="O98" s="45"/>
      <c r="P98" s="45"/>
      <c r="Q98" s="45"/>
      <c r="R98" s="45"/>
      <c r="S98" s="45"/>
      <c r="T98" s="45"/>
      <c r="U98" s="45"/>
      <c r="V98" s="45"/>
      <c r="W98" s="45"/>
      <c r="X98" s="45"/>
      <c r="Y98" s="45"/>
      <c r="Z98" s="45"/>
    </row>
    <row r="99" customFormat="false" ht="14.25" hidden="false" customHeight="true" outlineLevel="0" collapsed="false">
      <c r="A99" s="45"/>
      <c r="B99" s="45"/>
      <c r="C99" s="87"/>
      <c r="D99" s="45"/>
      <c r="E99" s="45"/>
      <c r="F99" s="45"/>
      <c r="G99" s="45"/>
      <c r="H99" s="45"/>
      <c r="I99" s="45"/>
      <c r="J99" s="45"/>
      <c r="K99" s="45"/>
      <c r="L99" s="45"/>
      <c r="M99" s="45"/>
      <c r="N99" s="45"/>
      <c r="O99" s="45"/>
      <c r="P99" s="45"/>
      <c r="Q99" s="45"/>
      <c r="R99" s="45"/>
      <c r="S99" s="45"/>
      <c r="T99" s="45"/>
      <c r="U99" s="45"/>
      <c r="V99" s="45"/>
      <c r="W99" s="45"/>
      <c r="X99" s="45"/>
      <c r="Y99" s="45"/>
      <c r="Z99" s="45"/>
    </row>
    <row r="100" customFormat="false" ht="14.25" hidden="false" customHeight="true" outlineLevel="0" collapsed="false">
      <c r="A100" s="45"/>
      <c r="B100" s="45"/>
      <c r="C100" s="87"/>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ustomFormat="false" ht="14.25" hidden="false" customHeight="true" outlineLevel="0" collapsed="false">
      <c r="A101" s="45"/>
      <c r="B101" s="45"/>
      <c r="C101" s="87"/>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ustomFormat="false" ht="14.25" hidden="false" customHeight="true" outlineLevel="0" collapsed="false">
      <c r="A102" s="45"/>
      <c r="B102" s="45"/>
      <c r="C102" s="87"/>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ustomFormat="false" ht="14.25" hidden="false" customHeight="true" outlineLevel="0" collapsed="false">
      <c r="A103" s="45"/>
      <c r="B103" s="45"/>
      <c r="C103" s="87"/>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ustomFormat="false" ht="14.25" hidden="false" customHeight="true" outlineLevel="0" collapsed="false">
      <c r="A104" s="45"/>
      <c r="B104" s="45"/>
      <c r="C104" s="87"/>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ustomFormat="false" ht="14.25" hidden="false" customHeight="true" outlineLevel="0" collapsed="false">
      <c r="A105" s="45"/>
      <c r="B105" s="45"/>
      <c r="C105" s="87"/>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ustomFormat="false" ht="14.25" hidden="false" customHeight="true" outlineLevel="0" collapsed="false">
      <c r="A106" s="45"/>
      <c r="B106" s="45"/>
      <c r="C106" s="87"/>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ustomFormat="false" ht="14.25" hidden="false" customHeight="true" outlineLevel="0" collapsed="false">
      <c r="A107" s="45"/>
      <c r="B107" s="45"/>
      <c r="C107" s="87"/>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ustomFormat="false" ht="14.25" hidden="false" customHeight="true" outlineLevel="0" collapsed="false">
      <c r="A108" s="45"/>
      <c r="B108" s="45"/>
      <c r="C108" s="87"/>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ustomFormat="false" ht="14.25" hidden="false" customHeight="true" outlineLevel="0" collapsed="false">
      <c r="A109" s="45"/>
      <c r="B109" s="45"/>
      <c r="C109" s="87"/>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ustomFormat="false" ht="14.25" hidden="false" customHeight="true" outlineLevel="0" collapsed="false">
      <c r="A110" s="45"/>
      <c r="B110" s="45"/>
      <c r="C110" s="87"/>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ustomFormat="false" ht="14.25" hidden="false" customHeight="true" outlineLevel="0" collapsed="false">
      <c r="A111" s="45"/>
      <c r="B111" s="45"/>
      <c r="C111" s="87"/>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ustomFormat="false" ht="14.25" hidden="false" customHeight="true" outlineLevel="0" collapsed="false">
      <c r="A112" s="45"/>
      <c r="B112" s="45"/>
      <c r="C112" s="87"/>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ustomFormat="false" ht="14.25" hidden="false" customHeight="true" outlineLevel="0" collapsed="false">
      <c r="A113" s="45"/>
      <c r="B113" s="45"/>
      <c r="C113" s="87"/>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ustomFormat="false" ht="14.25" hidden="false" customHeight="true" outlineLevel="0" collapsed="false">
      <c r="A114" s="45"/>
      <c r="B114" s="45"/>
      <c r="C114" s="87"/>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ustomFormat="false" ht="14.25" hidden="false" customHeight="true" outlineLevel="0" collapsed="false">
      <c r="A115" s="45"/>
      <c r="B115" s="45"/>
      <c r="C115" s="87"/>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ustomFormat="false" ht="14.25" hidden="false" customHeight="true" outlineLevel="0" collapsed="false">
      <c r="A116" s="45"/>
      <c r="B116" s="45"/>
      <c r="C116" s="87"/>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ustomFormat="false" ht="14.25" hidden="false" customHeight="true" outlineLevel="0" collapsed="false">
      <c r="A117" s="45"/>
      <c r="B117" s="45"/>
      <c r="C117" s="87"/>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ustomFormat="false" ht="14.25" hidden="false" customHeight="true" outlineLevel="0" collapsed="false">
      <c r="A118" s="45"/>
      <c r="B118" s="45"/>
      <c r="C118" s="87"/>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ustomFormat="false" ht="14.25" hidden="false" customHeight="true" outlineLevel="0" collapsed="false">
      <c r="A119" s="45"/>
      <c r="B119" s="45"/>
      <c r="C119" s="87"/>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ustomFormat="false" ht="14.25" hidden="false" customHeight="true" outlineLevel="0" collapsed="false">
      <c r="A120" s="45"/>
      <c r="B120" s="45"/>
      <c r="C120" s="87"/>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ustomFormat="false" ht="14.25" hidden="false" customHeight="true" outlineLevel="0" collapsed="false">
      <c r="A121" s="45"/>
      <c r="B121" s="45"/>
      <c r="C121" s="87"/>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ustomFormat="false" ht="14.25" hidden="false" customHeight="true" outlineLevel="0" collapsed="false">
      <c r="A122" s="45"/>
      <c r="B122" s="45"/>
      <c r="C122" s="87"/>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ustomFormat="false" ht="14.25" hidden="false" customHeight="true" outlineLevel="0" collapsed="false">
      <c r="A123" s="45"/>
      <c r="B123" s="45"/>
      <c r="C123" s="87"/>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ustomFormat="false" ht="14.25" hidden="false" customHeight="true" outlineLevel="0" collapsed="false">
      <c r="A124" s="45"/>
      <c r="B124" s="45"/>
      <c r="C124" s="87"/>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ustomFormat="false" ht="14.25" hidden="false" customHeight="true" outlineLevel="0" collapsed="false">
      <c r="A125" s="45"/>
      <c r="B125" s="45"/>
      <c r="C125" s="87"/>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ustomFormat="false" ht="14.25" hidden="false" customHeight="true" outlineLevel="0" collapsed="false">
      <c r="A126" s="45"/>
      <c r="B126" s="45"/>
      <c r="C126" s="87"/>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ustomFormat="false" ht="14.25" hidden="false" customHeight="true" outlineLevel="0" collapsed="false">
      <c r="A127" s="45"/>
      <c r="B127" s="45"/>
      <c r="C127" s="87"/>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ustomFormat="false" ht="14.25" hidden="false" customHeight="true" outlineLevel="0" collapsed="false">
      <c r="A128" s="45"/>
      <c r="B128" s="45"/>
      <c r="C128" s="87"/>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ustomFormat="false" ht="14.25" hidden="false" customHeight="true" outlineLevel="0" collapsed="false">
      <c r="A129" s="45"/>
      <c r="B129" s="45"/>
      <c r="C129" s="87"/>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ustomFormat="false" ht="14.25" hidden="false" customHeight="true" outlineLevel="0" collapsed="false">
      <c r="A130" s="45"/>
      <c r="B130" s="45"/>
      <c r="C130" s="87"/>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ustomFormat="false" ht="14.25" hidden="false" customHeight="true" outlineLevel="0" collapsed="false">
      <c r="A131" s="45"/>
      <c r="B131" s="45"/>
      <c r="C131" s="87"/>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ustomFormat="false" ht="14.25" hidden="false" customHeight="true" outlineLevel="0" collapsed="false">
      <c r="A132" s="45"/>
      <c r="B132" s="45"/>
      <c r="C132" s="87"/>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ustomFormat="false" ht="14.25" hidden="false" customHeight="true" outlineLevel="0" collapsed="false">
      <c r="A133" s="45"/>
      <c r="B133" s="45"/>
      <c r="C133" s="87"/>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ustomFormat="false" ht="14.25" hidden="false" customHeight="true" outlineLevel="0" collapsed="false">
      <c r="A134" s="45"/>
      <c r="B134" s="45"/>
      <c r="C134" s="87"/>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ustomFormat="false" ht="14.25" hidden="false" customHeight="true" outlineLevel="0" collapsed="false">
      <c r="A135" s="45"/>
      <c r="B135" s="45"/>
      <c r="C135" s="87"/>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ustomFormat="false" ht="14.25" hidden="false" customHeight="true" outlineLevel="0" collapsed="false">
      <c r="A136" s="45"/>
      <c r="B136" s="45"/>
      <c r="C136" s="87"/>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ustomFormat="false" ht="14.25" hidden="false" customHeight="true" outlineLevel="0" collapsed="false">
      <c r="A137" s="45"/>
      <c r="B137" s="45"/>
      <c r="C137" s="87"/>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ustomFormat="false" ht="14.25" hidden="false" customHeight="true" outlineLevel="0" collapsed="false">
      <c r="A138" s="45"/>
      <c r="B138" s="45"/>
      <c r="C138" s="87"/>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ustomFormat="false" ht="14.25" hidden="false" customHeight="true" outlineLevel="0" collapsed="false">
      <c r="A139" s="45"/>
      <c r="B139" s="45"/>
      <c r="C139" s="87"/>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ustomFormat="false" ht="14.25" hidden="false" customHeight="true" outlineLevel="0" collapsed="false">
      <c r="A140" s="45"/>
      <c r="B140" s="45"/>
      <c r="C140" s="87"/>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ustomFormat="false" ht="14.25" hidden="false" customHeight="true" outlineLevel="0" collapsed="false">
      <c r="A141" s="45"/>
      <c r="B141" s="45"/>
      <c r="C141" s="87"/>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ustomFormat="false" ht="14.25" hidden="false" customHeight="true" outlineLevel="0" collapsed="false">
      <c r="A142" s="45"/>
      <c r="B142" s="45"/>
      <c r="C142" s="87"/>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ustomFormat="false" ht="14.25" hidden="false" customHeight="true" outlineLevel="0" collapsed="false">
      <c r="A143" s="45"/>
      <c r="B143" s="45"/>
      <c r="C143" s="87"/>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ustomFormat="false" ht="14.25" hidden="false" customHeight="true" outlineLevel="0" collapsed="false">
      <c r="A144" s="45"/>
      <c r="B144" s="45"/>
      <c r="C144" s="87"/>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ustomFormat="false" ht="14.25" hidden="false" customHeight="true" outlineLevel="0" collapsed="false">
      <c r="A145" s="45"/>
      <c r="B145" s="45"/>
      <c r="C145" s="87"/>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ustomFormat="false" ht="14.25" hidden="false" customHeight="true" outlineLevel="0" collapsed="false">
      <c r="A146" s="45"/>
      <c r="B146" s="45"/>
      <c r="C146" s="87"/>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ustomFormat="false" ht="14.25" hidden="false" customHeight="true" outlineLevel="0" collapsed="false">
      <c r="A147" s="45"/>
      <c r="B147" s="45"/>
      <c r="C147" s="87"/>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ustomFormat="false" ht="14.25" hidden="false" customHeight="true" outlineLevel="0" collapsed="false">
      <c r="A148" s="45"/>
      <c r="B148" s="45"/>
      <c r="C148" s="87"/>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ustomFormat="false" ht="14.25" hidden="false" customHeight="true" outlineLevel="0" collapsed="false">
      <c r="A149" s="45"/>
      <c r="B149" s="45"/>
      <c r="C149" s="87"/>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ustomFormat="false" ht="14.25" hidden="false" customHeight="true" outlineLevel="0" collapsed="false">
      <c r="A150" s="45"/>
      <c r="B150" s="45"/>
      <c r="C150" s="87"/>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ustomFormat="false" ht="14.25" hidden="false" customHeight="true" outlineLevel="0" collapsed="false">
      <c r="A151" s="45"/>
      <c r="B151" s="45"/>
      <c r="C151" s="87"/>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ustomFormat="false" ht="14.25" hidden="false" customHeight="true" outlineLevel="0" collapsed="false">
      <c r="A152" s="45"/>
      <c r="B152" s="45"/>
      <c r="C152" s="87"/>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ustomFormat="false" ht="14.25" hidden="false" customHeight="true" outlineLevel="0" collapsed="false">
      <c r="A153" s="45"/>
      <c r="B153" s="45"/>
      <c r="C153" s="87"/>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ustomFormat="false" ht="14.25" hidden="false" customHeight="true" outlineLevel="0" collapsed="false">
      <c r="A154" s="45"/>
      <c r="B154" s="45"/>
      <c r="C154" s="87"/>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ustomFormat="false" ht="14.25" hidden="false" customHeight="true" outlineLevel="0" collapsed="false">
      <c r="A155" s="45"/>
      <c r="B155" s="45"/>
      <c r="C155" s="87"/>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ustomFormat="false" ht="14.25" hidden="false" customHeight="true" outlineLevel="0" collapsed="false">
      <c r="A156" s="45"/>
      <c r="B156" s="45"/>
      <c r="C156" s="87"/>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ustomFormat="false" ht="14.25" hidden="false" customHeight="true" outlineLevel="0" collapsed="false">
      <c r="A157" s="45"/>
      <c r="B157" s="45"/>
      <c r="C157" s="87"/>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ustomFormat="false" ht="14.25" hidden="false" customHeight="true" outlineLevel="0" collapsed="false">
      <c r="A158" s="45"/>
      <c r="B158" s="45"/>
      <c r="C158" s="87"/>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ustomFormat="false" ht="14.25" hidden="false" customHeight="true" outlineLevel="0" collapsed="false">
      <c r="A159" s="45"/>
      <c r="B159" s="45"/>
      <c r="C159" s="87"/>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ustomFormat="false" ht="14.25" hidden="false" customHeight="true" outlineLevel="0" collapsed="false">
      <c r="A160" s="45"/>
      <c r="B160" s="45"/>
      <c r="C160" s="87"/>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ustomFormat="false" ht="14.25" hidden="false" customHeight="true" outlineLevel="0" collapsed="false">
      <c r="A161" s="45"/>
      <c r="B161" s="45"/>
      <c r="C161" s="87"/>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ustomFormat="false" ht="14.25" hidden="false" customHeight="true" outlineLevel="0" collapsed="false">
      <c r="A162" s="45"/>
      <c r="B162" s="45"/>
      <c r="C162" s="87"/>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ustomFormat="false" ht="14.25" hidden="false" customHeight="true" outlineLevel="0" collapsed="false">
      <c r="A163" s="45"/>
      <c r="B163" s="45"/>
      <c r="C163" s="87"/>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ustomFormat="false" ht="14.25" hidden="false" customHeight="true" outlineLevel="0" collapsed="false">
      <c r="A164" s="45"/>
      <c r="B164" s="45"/>
      <c r="C164" s="87"/>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ustomFormat="false" ht="14.25" hidden="false" customHeight="true" outlineLevel="0" collapsed="false">
      <c r="A165" s="45"/>
      <c r="B165" s="45"/>
      <c r="C165" s="87"/>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ustomFormat="false" ht="14.25" hidden="false" customHeight="true" outlineLevel="0" collapsed="false">
      <c r="A166" s="45"/>
      <c r="B166" s="45"/>
      <c r="C166" s="87"/>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ustomFormat="false" ht="14.25" hidden="false" customHeight="true" outlineLevel="0" collapsed="false">
      <c r="A167" s="45"/>
      <c r="B167" s="45"/>
      <c r="C167" s="87"/>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ustomFormat="false" ht="14.25" hidden="false" customHeight="true" outlineLevel="0" collapsed="false">
      <c r="A168" s="45"/>
      <c r="B168" s="45"/>
      <c r="C168" s="87"/>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ustomFormat="false" ht="14.25" hidden="false" customHeight="true" outlineLevel="0" collapsed="false">
      <c r="A169" s="45"/>
      <c r="B169" s="45"/>
      <c r="C169" s="87"/>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ustomFormat="false" ht="14.25" hidden="false" customHeight="true" outlineLevel="0" collapsed="false">
      <c r="A170" s="45"/>
      <c r="B170" s="45"/>
      <c r="C170" s="87"/>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ustomFormat="false" ht="14.25" hidden="false" customHeight="true" outlineLevel="0" collapsed="false">
      <c r="A171" s="45"/>
      <c r="B171" s="45"/>
      <c r="C171" s="87"/>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ustomFormat="false" ht="14.25" hidden="false" customHeight="true" outlineLevel="0" collapsed="false">
      <c r="A172" s="45"/>
      <c r="B172" s="45"/>
      <c r="C172" s="87"/>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ustomFormat="false" ht="14.25" hidden="false" customHeight="true" outlineLevel="0" collapsed="false">
      <c r="A173" s="45"/>
      <c r="B173" s="45"/>
      <c r="C173" s="87"/>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ustomFormat="false" ht="14.25" hidden="false" customHeight="true" outlineLevel="0" collapsed="false">
      <c r="A174" s="45"/>
      <c r="B174" s="45"/>
      <c r="C174" s="87"/>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ustomFormat="false" ht="14.25" hidden="false" customHeight="true" outlineLevel="0" collapsed="false">
      <c r="A175" s="45"/>
      <c r="B175" s="45"/>
      <c r="C175" s="87"/>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ustomFormat="false" ht="14.25" hidden="false" customHeight="true" outlineLevel="0" collapsed="false">
      <c r="A176" s="45"/>
      <c r="B176" s="45"/>
      <c r="C176" s="87"/>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ustomFormat="false" ht="14.25" hidden="false" customHeight="true" outlineLevel="0" collapsed="false">
      <c r="A177" s="45"/>
      <c r="B177" s="45"/>
      <c r="C177" s="87"/>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ustomFormat="false" ht="14.25" hidden="false" customHeight="true" outlineLevel="0" collapsed="false">
      <c r="A178" s="45"/>
      <c r="B178" s="45"/>
      <c r="C178" s="87"/>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ustomFormat="false" ht="14.25" hidden="false" customHeight="true" outlineLevel="0" collapsed="false">
      <c r="A179" s="45"/>
      <c r="B179" s="45"/>
      <c r="C179" s="87"/>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ustomFormat="false" ht="14.25" hidden="false" customHeight="true" outlineLevel="0" collapsed="false">
      <c r="A180" s="45"/>
      <c r="B180" s="45"/>
      <c r="C180" s="87"/>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ustomFormat="false" ht="14.25" hidden="false" customHeight="true" outlineLevel="0" collapsed="false">
      <c r="A181" s="45"/>
      <c r="B181" s="45"/>
      <c r="C181" s="87"/>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ustomFormat="false" ht="14.25" hidden="false" customHeight="true" outlineLevel="0" collapsed="false">
      <c r="A182" s="45"/>
      <c r="B182" s="45"/>
      <c r="C182" s="87"/>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ustomFormat="false" ht="14.25" hidden="false" customHeight="true" outlineLevel="0" collapsed="false">
      <c r="A183" s="45"/>
      <c r="B183" s="45"/>
      <c r="C183" s="87"/>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ustomFormat="false" ht="14.25" hidden="false" customHeight="true" outlineLevel="0" collapsed="false">
      <c r="A184" s="45"/>
      <c r="B184" s="45"/>
      <c r="C184" s="87"/>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ustomFormat="false" ht="14.25" hidden="false" customHeight="true" outlineLevel="0" collapsed="false">
      <c r="A185" s="45"/>
      <c r="B185" s="45"/>
      <c r="C185" s="87"/>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ustomFormat="false" ht="14.25" hidden="false" customHeight="true" outlineLevel="0" collapsed="false">
      <c r="A186" s="45"/>
      <c r="B186" s="45"/>
      <c r="C186" s="87"/>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ustomFormat="false" ht="14.25" hidden="false" customHeight="true" outlineLevel="0" collapsed="false">
      <c r="A187" s="45"/>
      <c r="B187" s="45"/>
      <c r="C187" s="87"/>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ustomFormat="false" ht="14.25" hidden="false" customHeight="true" outlineLevel="0" collapsed="false">
      <c r="A188" s="45"/>
      <c r="B188" s="45"/>
      <c r="C188" s="87"/>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ustomFormat="false" ht="14.25" hidden="false" customHeight="true" outlineLevel="0" collapsed="false">
      <c r="A189" s="45"/>
      <c r="B189" s="45"/>
      <c r="C189" s="87"/>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ustomFormat="false" ht="14.25" hidden="false" customHeight="true" outlineLevel="0" collapsed="false">
      <c r="A190" s="45"/>
      <c r="B190" s="45"/>
      <c r="C190" s="87"/>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ustomFormat="false" ht="14.25" hidden="false" customHeight="true" outlineLevel="0" collapsed="false">
      <c r="A191" s="45"/>
      <c r="B191" s="45"/>
      <c r="C191" s="87"/>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ustomFormat="false" ht="14.25" hidden="false" customHeight="true" outlineLevel="0" collapsed="false">
      <c r="A192" s="45"/>
      <c r="B192" s="45"/>
      <c r="C192" s="87"/>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ustomFormat="false" ht="14.25" hidden="false" customHeight="true" outlineLevel="0" collapsed="false">
      <c r="A193" s="45"/>
      <c r="B193" s="45"/>
      <c r="C193" s="87"/>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ustomFormat="false" ht="14.25" hidden="false" customHeight="true" outlineLevel="0" collapsed="false">
      <c r="A194" s="45"/>
      <c r="B194" s="45"/>
      <c r="C194" s="87"/>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ustomFormat="false" ht="14.25" hidden="false" customHeight="true" outlineLevel="0" collapsed="false">
      <c r="A195" s="45"/>
      <c r="B195" s="45"/>
      <c r="C195" s="87"/>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ustomFormat="false" ht="14.25" hidden="false" customHeight="true" outlineLevel="0" collapsed="false">
      <c r="A196" s="45"/>
      <c r="B196" s="45"/>
      <c r="C196" s="87"/>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ustomFormat="false" ht="14.25" hidden="false" customHeight="true" outlineLevel="0" collapsed="false">
      <c r="A197" s="45"/>
      <c r="B197" s="45"/>
      <c r="C197" s="87"/>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ustomFormat="false" ht="14.25" hidden="false" customHeight="true" outlineLevel="0" collapsed="false">
      <c r="A198" s="45"/>
      <c r="B198" s="45"/>
      <c r="C198" s="87"/>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ustomFormat="false" ht="14.25" hidden="false" customHeight="true" outlineLevel="0" collapsed="false">
      <c r="A199" s="45"/>
      <c r="B199" s="45"/>
      <c r="C199" s="87"/>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ustomFormat="false" ht="14.25" hidden="false" customHeight="true" outlineLevel="0" collapsed="false">
      <c r="A200" s="45"/>
      <c r="B200" s="45"/>
      <c r="C200" s="87"/>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ustomFormat="false" ht="14.25" hidden="false" customHeight="true" outlineLevel="0" collapsed="false">
      <c r="A201" s="45"/>
      <c r="B201" s="45"/>
      <c r="C201" s="87"/>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ustomFormat="false" ht="14.25" hidden="false" customHeight="true" outlineLevel="0" collapsed="false">
      <c r="A202" s="45"/>
      <c r="B202" s="45"/>
      <c r="C202" s="87"/>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ustomFormat="false" ht="14.25" hidden="false" customHeight="true" outlineLevel="0" collapsed="false">
      <c r="A203" s="45"/>
      <c r="B203" s="45"/>
      <c r="C203" s="87"/>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ustomFormat="false" ht="14.25" hidden="false" customHeight="true" outlineLevel="0" collapsed="false">
      <c r="A204" s="45"/>
      <c r="B204" s="45"/>
      <c r="C204" s="87"/>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ustomFormat="false" ht="14.25" hidden="false" customHeight="true" outlineLevel="0" collapsed="false">
      <c r="A205" s="45"/>
      <c r="B205" s="45"/>
      <c r="C205" s="87"/>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ustomFormat="false" ht="14.25" hidden="false" customHeight="true" outlineLevel="0" collapsed="false">
      <c r="A206" s="45"/>
      <c r="B206" s="45"/>
      <c r="C206" s="87"/>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ustomFormat="false" ht="14.25" hidden="false" customHeight="true" outlineLevel="0" collapsed="false">
      <c r="A207" s="45"/>
      <c r="B207" s="45"/>
      <c r="C207" s="87"/>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ustomFormat="false" ht="14.25" hidden="false" customHeight="true" outlineLevel="0" collapsed="false">
      <c r="A208" s="45"/>
      <c r="B208" s="45"/>
      <c r="C208" s="87"/>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ustomFormat="false" ht="14.25" hidden="false" customHeight="true" outlineLevel="0" collapsed="false">
      <c r="A209" s="45"/>
      <c r="B209" s="45"/>
      <c r="C209" s="87"/>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ustomFormat="false" ht="14.25" hidden="false" customHeight="true" outlineLevel="0" collapsed="false">
      <c r="A210" s="45"/>
      <c r="B210" s="45"/>
      <c r="C210" s="87"/>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ustomFormat="false" ht="14.25" hidden="false" customHeight="true" outlineLevel="0" collapsed="false">
      <c r="A211" s="45"/>
      <c r="B211" s="45"/>
      <c r="C211" s="87"/>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ustomFormat="false" ht="14.25" hidden="false" customHeight="true" outlineLevel="0" collapsed="false">
      <c r="A212" s="45"/>
      <c r="B212" s="45"/>
      <c r="C212" s="87"/>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ustomFormat="false" ht="14.25" hidden="false" customHeight="true" outlineLevel="0" collapsed="false">
      <c r="A213" s="45"/>
      <c r="B213" s="45"/>
      <c r="C213" s="87"/>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ustomFormat="false" ht="14.25" hidden="false" customHeight="true" outlineLevel="0" collapsed="false">
      <c r="A214" s="45"/>
      <c r="B214" s="45"/>
      <c r="C214" s="87"/>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ustomFormat="false" ht="14.25" hidden="false" customHeight="true" outlineLevel="0" collapsed="false">
      <c r="A215" s="45"/>
      <c r="B215" s="45"/>
      <c r="C215" s="87"/>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ustomFormat="false" ht="14.25" hidden="false" customHeight="true" outlineLevel="0" collapsed="false">
      <c r="A216" s="45"/>
      <c r="B216" s="45"/>
      <c r="C216" s="87"/>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ustomFormat="false" ht="14.25" hidden="false" customHeight="true" outlineLevel="0" collapsed="false">
      <c r="A217" s="45"/>
      <c r="B217" s="45"/>
      <c r="C217" s="87"/>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ustomFormat="false" ht="14.25" hidden="false" customHeight="true" outlineLevel="0" collapsed="false">
      <c r="A218" s="45"/>
      <c r="B218" s="45"/>
      <c r="C218" s="87"/>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ustomFormat="false" ht="14.25" hidden="false" customHeight="true" outlineLevel="0" collapsed="false">
      <c r="A219" s="45"/>
      <c r="B219" s="45"/>
      <c r="C219" s="87"/>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ustomFormat="false" ht="14.25" hidden="false" customHeight="true" outlineLevel="0" collapsed="false">
      <c r="A220" s="45"/>
      <c r="B220" s="45"/>
      <c r="C220" s="87"/>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ustomFormat="false" ht="14.25" hidden="false" customHeight="true" outlineLevel="0" collapsed="false">
      <c r="A221" s="45"/>
      <c r="B221" s="45"/>
      <c r="C221" s="87"/>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ustomFormat="false" ht="14.25" hidden="false" customHeight="true" outlineLevel="0" collapsed="false">
      <c r="A222" s="45"/>
      <c r="B222" s="45"/>
      <c r="C222" s="87"/>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ustomFormat="false" ht="14.25" hidden="false" customHeight="true" outlineLevel="0" collapsed="false">
      <c r="A223" s="45"/>
      <c r="B223" s="45"/>
      <c r="C223" s="87"/>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ustomFormat="false" ht="14.25" hidden="false" customHeight="true" outlineLevel="0" collapsed="false">
      <c r="A224" s="45"/>
      <c r="B224" s="45"/>
      <c r="C224" s="87"/>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ustomFormat="false" ht="14.25" hidden="false" customHeight="true" outlineLevel="0" collapsed="false">
      <c r="A225" s="45"/>
      <c r="B225" s="45"/>
      <c r="C225" s="87"/>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ustomFormat="false" ht="14.25" hidden="false" customHeight="true" outlineLevel="0" collapsed="false">
      <c r="A226" s="45"/>
      <c r="B226" s="45"/>
      <c r="C226" s="87"/>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ustomFormat="false" ht="14.25" hidden="false" customHeight="true" outlineLevel="0" collapsed="false">
      <c r="A227" s="45"/>
      <c r="B227" s="45"/>
      <c r="C227" s="87"/>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ustomFormat="false" ht="14.25" hidden="false" customHeight="true" outlineLevel="0" collapsed="false">
      <c r="A228" s="45"/>
      <c r="B228" s="45"/>
      <c r="C228" s="87"/>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ustomFormat="false" ht="14.25" hidden="false" customHeight="true" outlineLevel="0" collapsed="false">
      <c r="A229" s="45"/>
      <c r="B229" s="45"/>
      <c r="C229" s="87"/>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ustomFormat="false" ht="14.25" hidden="false" customHeight="true" outlineLevel="0" collapsed="false">
      <c r="A230" s="45"/>
      <c r="B230" s="45"/>
      <c r="C230" s="87"/>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ustomFormat="false" ht="14.25" hidden="false" customHeight="true" outlineLevel="0" collapsed="false">
      <c r="A231" s="45"/>
      <c r="B231" s="45"/>
      <c r="C231" s="87"/>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ustomFormat="false" ht="14.25" hidden="false" customHeight="true" outlineLevel="0" collapsed="false">
      <c r="A232" s="45"/>
      <c r="B232" s="45"/>
      <c r="C232" s="87"/>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ustomFormat="false" ht="14.25" hidden="false" customHeight="true" outlineLevel="0" collapsed="false">
      <c r="A233" s="45"/>
      <c r="B233" s="45"/>
      <c r="C233" s="87"/>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ustomFormat="false" ht="14.25" hidden="false" customHeight="true" outlineLevel="0" collapsed="false">
      <c r="A234" s="45"/>
      <c r="B234" s="45"/>
      <c r="C234" s="87"/>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ustomFormat="false" ht="14.25" hidden="false" customHeight="true" outlineLevel="0" collapsed="false">
      <c r="A235" s="45"/>
      <c r="B235" s="45"/>
      <c r="C235" s="87"/>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ustomFormat="false" ht="14.25" hidden="false" customHeight="true" outlineLevel="0" collapsed="false">
      <c r="A236" s="45"/>
      <c r="B236" s="45"/>
      <c r="C236" s="87"/>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ustomFormat="false" ht="14.25" hidden="false" customHeight="true" outlineLevel="0" collapsed="false">
      <c r="A237" s="45"/>
      <c r="B237" s="45"/>
      <c r="C237" s="87"/>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ustomFormat="false" ht="14.25" hidden="false" customHeight="true" outlineLevel="0" collapsed="false">
      <c r="A238" s="45"/>
      <c r="B238" s="45"/>
      <c r="C238" s="87"/>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ustomFormat="false" ht="14.25" hidden="false" customHeight="true" outlineLevel="0" collapsed="false">
      <c r="A239" s="45"/>
      <c r="B239" s="45"/>
      <c r="C239" s="87"/>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ustomFormat="false" ht="14.25" hidden="false" customHeight="true" outlineLevel="0" collapsed="false">
      <c r="A240" s="45"/>
      <c r="B240" s="45"/>
      <c r="C240" s="87"/>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ustomFormat="false" ht="14.25" hidden="false" customHeight="true" outlineLevel="0" collapsed="false">
      <c r="A241" s="45"/>
      <c r="B241" s="45"/>
      <c r="C241" s="87"/>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ustomFormat="false" ht="14.25" hidden="false" customHeight="true" outlineLevel="0" collapsed="false">
      <c r="A242" s="45"/>
      <c r="B242" s="45"/>
      <c r="C242" s="87"/>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ustomFormat="false" ht="14.25" hidden="false" customHeight="true" outlineLevel="0" collapsed="false">
      <c r="A243" s="45"/>
      <c r="B243" s="45"/>
      <c r="C243" s="87"/>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ustomFormat="false" ht="14.25" hidden="false" customHeight="true" outlineLevel="0" collapsed="false">
      <c r="A244" s="45"/>
      <c r="B244" s="45"/>
      <c r="C244" s="87"/>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ustomFormat="false" ht="14.25" hidden="false" customHeight="true" outlineLevel="0" collapsed="false">
      <c r="A245" s="45"/>
      <c r="B245" s="45"/>
      <c r="C245" s="87"/>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ustomFormat="false" ht="14.25" hidden="false" customHeight="true" outlineLevel="0" collapsed="false">
      <c r="A246" s="45"/>
      <c r="B246" s="45"/>
      <c r="C246" s="87"/>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ustomFormat="false" ht="14.25" hidden="false" customHeight="true" outlineLevel="0" collapsed="false">
      <c r="A247" s="45"/>
      <c r="B247" s="45"/>
      <c r="C247" s="87"/>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ustomFormat="false" ht="14.25" hidden="false" customHeight="true" outlineLevel="0" collapsed="false">
      <c r="A248" s="45"/>
      <c r="B248" s="45"/>
      <c r="C248" s="87"/>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ustomFormat="false" ht="14.25" hidden="false" customHeight="true" outlineLevel="0" collapsed="false">
      <c r="A249" s="45"/>
      <c r="B249" s="45"/>
      <c r="C249" s="87"/>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ustomFormat="false" ht="14.25" hidden="false" customHeight="true" outlineLevel="0" collapsed="false">
      <c r="A250" s="45"/>
      <c r="B250" s="45"/>
      <c r="C250" s="87"/>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ustomFormat="false" ht="14.25" hidden="false" customHeight="true" outlineLevel="0" collapsed="false">
      <c r="A251" s="45"/>
      <c r="B251" s="45"/>
      <c r="C251" s="87"/>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ustomFormat="false" ht="14.25" hidden="false" customHeight="true" outlineLevel="0" collapsed="false">
      <c r="A252" s="45"/>
      <c r="B252" s="45"/>
      <c r="C252" s="87"/>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ustomFormat="false" ht="14.25" hidden="false" customHeight="true" outlineLevel="0" collapsed="false">
      <c r="A253" s="45"/>
      <c r="B253" s="45"/>
      <c r="C253" s="87"/>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ustomFormat="false" ht="14.25" hidden="false" customHeight="true" outlineLevel="0" collapsed="false">
      <c r="A254" s="45"/>
      <c r="B254" s="45"/>
      <c r="C254" s="87"/>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ustomFormat="false" ht="14.25" hidden="false" customHeight="true" outlineLevel="0" collapsed="false">
      <c r="A255" s="45"/>
      <c r="B255" s="45"/>
      <c r="C255" s="87"/>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ustomFormat="false" ht="14.25" hidden="false" customHeight="true" outlineLevel="0" collapsed="false">
      <c r="A256" s="45"/>
      <c r="B256" s="45"/>
      <c r="C256" s="87"/>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ustomFormat="false" ht="14.25" hidden="false" customHeight="true" outlineLevel="0" collapsed="false">
      <c r="A257" s="45"/>
      <c r="B257" s="45"/>
      <c r="C257" s="87"/>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ustomFormat="false" ht="14.25" hidden="false" customHeight="true" outlineLevel="0" collapsed="false">
      <c r="A258" s="45"/>
      <c r="B258" s="45"/>
      <c r="C258" s="87"/>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ustomFormat="false" ht="14.25" hidden="false" customHeight="true" outlineLevel="0" collapsed="false">
      <c r="A259" s="45"/>
      <c r="B259" s="45"/>
      <c r="C259" s="87"/>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ustomFormat="false" ht="14.25" hidden="false" customHeight="true" outlineLevel="0" collapsed="false">
      <c r="A260" s="45"/>
      <c r="B260" s="45"/>
      <c r="C260" s="87"/>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ustomFormat="false" ht="14.25" hidden="false" customHeight="true" outlineLevel="0" collapsed="false">
      <c r="A261" s="45"/>
      <c r="B261" s="45"/>
      <c r="C261" s="87"/>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ustomFormat="false" ht="14.25" hidden="false" customHeight="true" outlineLevel="0" collapsed="false">
      <c r="A262" s="45"/>
      <c r="B262" s="45"/>
      <c r="C262" s="87"/>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ustomFormat="false" ht="14.25" hidden="false" customHeight="true" outlineLevel="0" collapsed="false">
      <c r="A263" s="45"/>
      <c r="B263" s="45"/>
      <c r="C263" s="87"/>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ustomFormat="false" ht="14.25" hidden="false" customHeight="true" outlineLevel="0" collapsed="false">
      <c r="A264" s="45"/>
      <c r="B264" s="45"/>
      <c r="C264" s="87"/>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ustomFormat="false" ht="14.25" hidden="false" customHeight="true" outlineLevel="0" collapsed="false">
      <c r="A265" s="45"/>
      <c r="B265" s="45"/>
      <c r="C265" s="87"/>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ustomFormat="false" ht="14.25" hidden="false" customHeight="true" outlineLevel="0" collapsed="false">
      <c r="A266" s="45"/>
      <c r="B266" s="45"/>
      <c r="C266" s="87"/>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ustomFormat="false" ht="14.25" hidden="false" customHeight="true" outlineLevel="0" collapsed="false">
      <c r="A267" s="45"/>
      <c r="B267" s="45"/>
      <c r="C267" s="87"/>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ustomFormat="false" ht="14.25" hidden="false" customHeight="true" outlineLevel="0" collapsed="false">
      <c r="A268" s="45"/>
      <c r="B268" s="45"/>
      <c r="C268" s="87"/>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ustomFormat="false" ht="14.25" hidden="false" customHeight="true" outlineLevel="0" collapsed="false">
      <c r="A269" s="45"/>
      <c r="B269" s="45"/>
      <c r="C269" s="87"/>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ustomFormat="false" ht="14.25" hidden="false" customHeight="true" outlineLevel="0" collapsed="false">
      <c r="A270" s="45"/>
      <c r="B270" s="45"/>
      <c r="C270" s="87"/>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ustomFormat="false" ht="14.25" hidden="false" customHeight="true" outlineLevel="0" collapsed="false">
      <c r="A271" s="45"/>
      <c r="B271" s="45"/>
      <c r="C271" s="87"/>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ustomFormat="false" ht="14.25" hidden="false" customHeight="true" outlineLevel="0" collapsed="false">
      <c r="A272" s="45"/>
      <c r="B272" s="45"/>
      <c r="C272" s="87"/>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ustomFormat="false" ht="14.25" hidden="false" customHeight="true" outlineLevel="0" collapsed="false">
      <c r="A273" s="45"/>
      <c r="B273" s="45"/>
      <c r="C273" s="87"/>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ustomFormat="false" ht="14.25" hidden="false" customHeight="true" outlineLevel="0" collapsed="false">
      <c r="A274" s="45"/>
      <c r="B274" s="45"/>
      <c r="C274" s="87"/>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ustomFormat="false" ht="14.25" hidden="false" customHeight="true" outlineLevel="0" collapsed="false">
      <c r="A275" s="45"/>
      <c r="B275" s="45"/>
      <c r="C275" s="87"/>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ustomFormat="false" ht="14.25" hidden="false" customHeight="true" outlineLevel="0" collapsed="false">
      <c r="A276" s="45"/>
      <c r="B276" s="45"/>
      <c r="C276" s="87"/>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ustomFormat="false" ht="14.25" hidden="false" customHeight="true" outlineLevel="0" collapsed="false">
      <c r="A277" s="45"/>
      <c r="B277" s="45"/>
      <c r="C277" s="87"/>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ustomFormat="false" ht="14.25" hidden="false" customHeight="true" outlineLevel="0" collapsed="false">
      <c r="A278" s="45"/>
      <c r="B278" s="45"/>
      <c r="C278" s="87"/>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ustomFormat="false" ht="14.25" hidden="false" customHeight="true" outlineLevel="0" collapsed="false">
      <c r="A279" s="45"/>
      <c r="B279" s="45"/>
      <c r="C279" s="87"/>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ustomFormat="false" ht="14.25" hidden="false" customHeight="true" outlineLevel="0" collapsed="false">
      <c r="A280" s="45"/>
      <c r="B280" s="45"/>
      <c r="C280" s="87"/>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ustomFormat="false" ht="14.25" hidden="false" customHeight="true" outlineLevel="0" collapsed="false">
      <c r="A281" s="45"/>
      <c r="B281" s="45"/>
      <c r="C281" s="87"/>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ustomFormat="false" ht="14.25" hidden="false" customHeight="true" outlineLevel="0" collapsed="false">
      <c r="A282" s="45"/>
      <c r="B282" s="45"/>
      <c r="C282" s="87"/>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ustomFormat="false" ht="14.25" hidden="false" customHeight="true" outlineLevel="0" collapsed="false">
      <c r="A283" s="45"/>
      <c r="B283" s="45"/>
      <c r="C283" s="87"/>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ustomFormat="false" ht="14.25" hidden="false" customHeight="true" outlineLevel="0" collapsed="false">
      <c r="A284" s="45"/>
      <c r="B284" s="45"/>
      <c r="C284" s="87"/>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ustomFormat="false" ht="14.25" hidden="false" customHeight="true" outlineLevel="0" collapsed="false">
      <c r="A285" s="45"/>
      <c r="B285" s="45"/>
      <c r="C285" s="87"/>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ustomFormat="false" ht="14.25" hidden="false" customHeight="true" outlineLevel="0" collapsed="false">
      <c r="A286" s="45"/>
      <c r="B286" s="45"/>
      <c r="C286" s="87"/>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ustomFormat="false" ht="14.25" hidden="false" customHeight="true" outlineLevel="0" collapsed="false">
      <c r="A287" s="45"/>
      <c r="B287" s="45"/>
      <c r="C287" s="87"/>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ustomFormat="false" ht="14.25" hidden="false" customHeight="true" outlineLevel="0" collapsed="false">
      <c r="A288" s="45"/>
      <c r="B288" s="45"/>
      <c r="C288" s="87"/>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ustomFormat="false" ht="14.25" hidden="false" customHeight="true" outlineLevel="0" collapsed="false">
      <c r="A289" s="45"/>
      <c r="B289" s="45"/>
      <c r="C289" s="87"/>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ustomFormat="false" ht="14.25" hidden="false" customHeight="true" outlineLevel="0" collapsed="false">
      <c r="A290" s="45"/>
      <c r="B290" s="45"/>
      <c r="C290" s="87"/>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ustomFormat="false" ht="14.25" hidden="false" customHeight="true" outlineLevel="0" collapsed="false">
      <c r="A291" s="45"/>
      <c r="B291" s="45"/>
      <c r="C291" s="87"/>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ustomFormat="false" ht="14.25" hidden="false" customHeight="true" outlineLevel="0" collapsed="false">
      <c r="A292" s="45"/>
      <c r="B292" s="45"/>
      <c r="C292" s="87"/>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ustomFormat="false" ht="14.25" hidden="false" customHeight="true" outlineLevel="0" collapsed="false">
      <c r="A293" s="45"/>
      <c r="B293" s="45"/>
      <c r="C293" s="87"/>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ustomFormat="false" ht="14.25" hidden="false" customHeight="true" outlineLevel="0" collapsed="false">
      <c r="A294" s="45"/>
      <c r="B294" s="45"/>
      <c r="C294" s="87"/>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ustomFormat="false" ht="14.25" hidden="false" customHeight="true" outlineLevel="0" collapsed="false">
      <c r="A295" s="45"/>
      <c r="B295" s="45"/>
      <c r="C295" s="87"/>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ustomFormat="false" ht="14.25" hidden="false" customHeight="true" outlineLevel="0" collapsed="false">
      <c r="A296" s="45"/>
      <c r="B296" s="45"/>
      <c r="C296" s="87"/>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ustomFormat="false" ht="14.25" hidden="false" customHeight="true" outlineLevel="0" collapsed="false">
      <c r="A297" s="45"/>
      <c r="B297" s="45"/>
      <c r="C297" s="87"/>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ustomFormat="false" ht="14.25" hidden="false" customHeight="true" outlineLevel="0" collapsed="false">
      <c r="A298" s="45"/>
      <c r="B298" s="45"/>
      <c r="C298" s="87"/>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ustomFormat="false" ht="14.25" hidden="false" customHeight="true" outlineLevel="0" collapsed="false">
      <c r="A299" s="45"/>
      <c r="B299" s="45"/>
      <c r="C299" s="87"/>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ustomFormat="false" ht="14.25" hidden="false" customHeight="true" outlineLevel="0" collapsed="false">
      <c r="A300" s="45"/>
      <c r="B300" s="45"/>
      <c r="C300" s="87"/>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ustomFormat="false" ht="14.25" hidden="false" customHeight="true" outlineLevel="0" collapsed="false">
      <c r="A301" s="45"/>
      <c r="B301" s="45"/>
      <c r="C301" s="87"/>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ustomFormat="false" ht="14.25" hidden="false" customHeight="true" outlineLevel="0" collapsed="false">
      <c r="A302" s="45"/>
      <c r="B302" s="45"/>
      <c r="C302" s="87"/>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ustomFormat="false" ht="14.25" hidden="false" customHeight="true" outlineLevel="0" collapsed="false">
      <c r="A303" s="45"/>
      <c r="B303" s="45"/>
      <c r="C303" s="87"/>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ustomFormat="false" ht="14.25" hidden="false" customHeight="true" outlineLevel="0" collapsed="false">
      <c r="A304" s="45"/>
      <c r="B304" s="45"/>
      <c r="C304" s="87"/>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ustomFormat="false" ht="14.25" hidden="false" customHeight="true" outlineLevel="0" collapsed="false">
      <c r="A305" s="45"/>
      <c r="B305" s="45"/>
      <c r="C305" s="87"/>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ustomFormat="false" ht="14.25" hidden="false" customHeight="true" outlineLevel="0" collapsed="false">
      <c r="A306" s="45"/>
      <c r="B306" s="45"/>
      <c r="C306" s="87"/>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ustomFormat="false" ht="14.25" hidden="false" customHeight="true" outlineLevel="0" collapsed="false">
      <c r="A307" s="45"/>
      <c r="B307" s="45"/>
      <c r="C307" s="87"/>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ustomFormat="false" ht="14.25" hidden="false" customHeight="true" outlineLevel="0" collapsed="false">
      <c r="A308" s="45"/>
      <c r="B308" s="45"/>
      <c r="C308" s="87"/>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ustomFormat="false" ht="14.25" hidden="false" customHeight="true" outlineLevel="0" collapsed="false">
      <c r="A309" s="45"/>
      <c r="B309" s="45"/>
      <c r="C309" s="87"/>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ustomFormat="false" ht="14.25" hidden="false" customHeight="true" outlineLevel="0" collapsed="false">
      <c r="A310" s="45"/>
      <c r="B310" s="45"/>
      <c r="C310" s="87"/>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ustomFormat="false" ht="14.25" hidden="false" customHeight="true" outlineLevel="0" collapsed="false">
      <c r="A311" s="45"/>
      <c r="B311" s="45"/>
      <c r="C311" s="87"/>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ustomFormat="false" ht="14.25" hidden="false" customHeight="true" outlineLevel="0" collapsed="false">
      <c r="A312" s="45"/>
      <c r="B312" s="45"/>
      <c r="C312" s="87"/>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ustomFormat="false" ht="14.25" hidden="false" customHeight="true" outlineLevel="0" collapsed="false">
      <c r="A313" s="45"/>
      <c r="B313" s="45"/>
      <c r="C313" s="87"/>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ustomFormat="false" ht="14.25" hidden="false" customHeight="true" outlineLevel="0" collapsed="false">
      <c r="A314" s="45"/>
      <c r="B314" s="45"/>
      <c r="C314" s="87"/>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ustomFormat="false" ht="14.25" hidden="false" customHeight="true" outlineLevel="0" collapsed="false">
      <c r="A315" s="45"/>
      <c r="B315" s="45"/>
      <c r="C315" s="87"/>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ustomFormat="false" ht="14.25" hidden="false" customHeight="true" outlineLevel="0" collapsed="false">
      <c r="A316" s="45"/>
      <c r="B316" s="45"/>
      <c r="C316" s="87"/>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ustomFormat="false" ht="14.25" hidden="false" customHeight="true" outlineLevel="0" collapsed="false">
      <c r="A317" s="45"/>
      <c r="B317" s="45"/>
      <c r="C317" s="87"/>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ustomFormat="false" ht="14.25" hidden="false" customHeight="true" outlineLevel="0" collapsed="false">
      <c r="A318" s="45"/>
      <c r="B318" s="45"/>
      <c r="C318" s="87"/>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ustomFormat="false" ht="14.25" hidden="false" customHeight="true" outlineLevel="0" collapsed="false">
      <c r="A319" s="45"/>
      <c r="B319" s="45"/>
      <c r="C319" s="87"/>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ustomFormat="false" ht="14.25" hidden="false" customHeight="true" outlineLevel="0" collapsed="false">
      <c r="A320" s="45"/>
      <c r="B320" s="45"/>
      <c r="C320" s="87"/>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ustomFormat="false" ht="14.25" hidden="false" customHeight="true" outlineLevel="0" collapsed="false">
      <c r="A321" s="45"/>
      <c r="B321" s="45"/>
      <c r="C321" s="87"/>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ustomFormat="false" ht="14.25" hidden="false" customHeight="true" outlineLevel="0" collapsed="false">
      <c r="A322" s="45"/>
      <c r="B322" s="45"/>
      <c r="C322" s="87"/>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ustomFormat="false" ht="14.25" hidden="false" customHeight="true" outlineLevel="0" collapsed="false">
      <c r="A323" s="45"/>
      <c r="B323" s="45"/>
      <c r="C323" s="87"/>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ustomFormat="false" ht="14.25" hidden="false" customHeight="true" outlineLevel="0" collapsed="false">
      <c r="A324" s="45"/>
      <c r="B324" s="45"/>
      <c r="C324" s="87"/>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ustomFormat="false" ht="14.25" hidden="false" customHeight="true" outlineLevel="0" collapsed="false">
      <c r="A325" s="45"/>
      <c r="B325" s="45"/>
      <c r="C325" s="87"/>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ustomFormat="false" ht="14.25" hidden="false" customHeight="true" outlineLevel="0" collapsed="false">
      <c r="A326" s="45"/>
      <c r="B326" s="45"/>
      <c r="C326" s="87"/>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ustomFormat="false" ht="14.25" hidden="false" customHeight="true" outlineLevel="0" collapsed="false">
      <c r="A327" s="45"/>
      <c r="B327" s="45"/>
      <c r="C327" s="87"/>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ustomFormat="false" ht="14.25" hidden="false" customHeight="true" outlineLevel="0" collapsed="false">
      <c r="A328" s="45"/>
      <c r="B328" s="45"/>
      <c r="C328" s="87"/>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ustomFormat="false" ht="14.25" hidden="false" customHeight="true" outlineLevel="0" collapsed="false">
      <c r="A329" s="45"/>
      <c r="B329" s="45"/>
      <c r="C329" s="87"/>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ustomFormat="false" ht="14.25" hidden="false" customHeight="true" outlineLevel="0" collapsed="false">
      <c r="A330" s="45"/>
      <c r="B330" s="45"/>
      <c r="C330" s="87"/>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ustomFormat="false" ht="14.25" hidden="false" customHeight="true" outlineLevel="0" collapsed="false">
      <c r="A331" s="45"/>
      <c r="B331" s="45"/>
      <c r="C331" s="87"/>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ustomFormat="false" ht="14.25" hidden="false" customHeight="true" outlineLevel="0" collapsed="false">
      <c r="A332" s="45"/>
      <c r="B332" s="45"/>
      <c r="C332" s="87"/>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ustomFormat="false" ht="14.25" hidden="false" customHeight="true" outlineLevel="0" collapsed="false">
      <c r="A333" s="45"/>
      <c r="B333" s="45"/>
      <c r="C333" s="87"/>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ustomFormat="false" ht="14.25" hidden="false" customHeight="true" outlineLevel="0" collapsed="false">
      <c r="A334" s="45"/>
      <c r="B334" s="45"/>
      <c r="C334" s="87"/>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ustomFormat="false" ht="14.25" hidden="false" customHeight="true" outlineLevel="0" collapsed="false">
      <c r="A335" s="45"/>
      <c r="B335" s="45"/>
      <c r="C335" s="87"/>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ustomFormat="false" ht="14.25" hidden="false" customHeight="true" outlineLevel="0" collapsed="false">
      <c r="A336" s="45"/>
      <c r="B336" s="45"/>
      <c r="C336" s="87"/>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ustomFormat="false" ht="14.25" hidden="false" customHeight="true" outlineLevel="0" collapsed="false">
      <c r="A337" s="45"/>
      <c r="B337" s="45"/>
      <c r="C337" s="87"/>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ustomFormat="false" ht="14.25" hidden="false" customHeight="true" outlineLevel="0" collapsed="false">
      <c r="A338" s="45"/>
      <c r="B338" s="45"/>
      <c r="C338" s="87"/>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ustomFormat="false" ht="14.25" hidden="false" customHeight="true" outlineLevel="0" collapsed="false">
      <c r="A339" s="45"/>
      <c r="B339" s="45"/>
      <c r="C339" s="87"/>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ustomFormat="false" ht="14.25" hidden="false" customHeight="true" outlineLevel="0" collapsed="false">
      <c r="A340" s="45"/>
      <c r="B340" s="45"/>
      <c r="C340" s="87"/>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ustomFormat="false" ht="14.25" hidden="false" customHeight="true" outlineLevel="0" collapsed="false">
      <c r="A341" s="45"/>
      <c r="B341" s="45"/>
      <c r="C341" s="87"/>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ustomFormat="false" ht="14.25" hidden="false" customHeight="true" outlineLevel="0" collapsed="false">
      <c r="A342" s="45"/>
      <c r="B342" s="45"/>
      <c r="C342" s="87"/>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ustomFormat="false" ht="14.25" hidden="false" customHeight="true" outlineLevel="0" collapsed="false">
      <c r="A343" s="45"/>
      <c r="B343" s="45"/>
      <c r="C343" s="87"/>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ustomFormat="false" ht="14.25" hidden="false" customHeight="true" outlineLevel="0" collapsed="false">
      <c r="A344" s="45"/>
      <c r="B344" s="45"/>
      <c r="C344" s="87"/>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ustomFormat="false" ht="14.25" hidden="false" customHeight="true" outlineLevel="0" collapsed="false">
      <c r="A345" s="45"/>
      <c r="B345" s="45"/>
      <c r="C345" s="87"/>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ustomFormat="false" ht="14.25" hidden="false" customHeight="true" outlineLevel="0" collapsed="false">
      <c r="A346" s="45"/>
      <c r="B346" s="45"/>
      <c r="C346" s="87"/>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ustomFormat="false" ht="14.25" hidden="false" customHeight="true" outlineLevel="0" collapsed="false">
      <c r="A347" s="45"/>
      <c r="B347" s="45"/>
      <c r="C347" s="87"/>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ustomFormat="false" ht="14.25" hidden="false" customHeight="true" outlineLevel="0" collapsed="false">
      <c r="A348" s="45"/>
      <c r="B348" s="45"/>
      <c r="C348" s="87"/>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ustomFormat="false" ht="14.25" hidden="false" customHeight="true" outlineLevel="0" collapsed="false">
      <c r="A349" s="45"/>
      <c r="B349" s="45"/>
      <c r="C349" s="87"/>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ustomFormat="false" ht="14.25" hidden="false" customHeight="true" outlineLevel="0" collapsed="false">
      <c r="A350" s="45"/>
      <c r="B350" s="45"/>
      <c r="C350" s="87"/>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ustomFormat="false" ht="14.25" hidden="false" customHeight="true" outlineLevel="0" collapsed="false">
      <c r="A351" s="45"/>
      <c r="B351" s="45"/>
      <c r="C351" s="87"/>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ustomFormat="false" ht="14.25" hidden="false" customHeight="true" outlineLevel="0" collapsed="false">
      <c r="A352" s="45"/>
      <c r="B352" s="45"/>
      <c r="C352" s="87"/>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ustomFormat="false" ht="14.25" hidden="false" customHeight="true" outlineLevel="0" collapsed="false">
      <c r="A353" s="45"/>
      <c r="B353" s="45"/>
      <c r="C353" s="87"/>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ustomFormat="false" ht="14.25" hidden="false" customHeight="true" outlineLevel="0" collapsed="false">
      <c r="A354" s="45"/>
      <c r="B354" s="45"/>
      <c r="C354" s="87"/>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ustomFormat="false" ht="14.25" hidden="false" customHeight="true" outlineLevel="0" collapsed="false">
      <c r="A355" s="45"/>
      <c r="B355" s="45"/>
      <c r="C355" s="87"/>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ustomFormat="false" ht="14.25" hidden="false" customHeight="true" outlineLevel="0" collapsed="false">
      <c r="A356" s="45"/>
      <c r="B356" s="45"/>
      <c r="C356" s="87"/>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ustomFormat="false" ht="14.25" hidden="false" customHeight="true" outlineLevel="0" collapsed="false">
      <c r="A357" s="45"/>
      <c r="B357" s="45"/>
      <c r="C357" s="87"/>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ustomFormat="false" ht="14.25" hidden="false" customHeight="true" outlineLevel="0" collapsed="false">
      <c r="A358" s="45"/>
      <c r="B358" s="45"/>
      <c r="C358" s="87"/>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ustomFormat="false" ht="14.25" hidden="false" customHeight="true" outlineLevel="0" collapsed="false">
      <c r="A359" s="45"/>
      <c r="B359" s="45"/>
      <c r="C359" s="87"/>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ustomFormat="false" ht="14.25" hidden="false" customHeight="true" outlineLevel="0" collapsed="false">
      <c r="A360" s="45"/>
      <c r="B360" s="45"/>
      <c r="C360" s="87"/>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ustomFormat="false" ht="14.25" hidden="false" customHeight="true" outlineLevel="0" collapsed="false">
      <c r="A361" s="45"/>
      <c r="B361" s="45"/>
      <c r="C361" s="87"/>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ustomFormat="false" ht="14.25" hidden="false" customHeight="true" outlineLevel="0" collapsed="false">
      <c r="A362" s="45"/>
      <c r="B362" s="45"/>
      <c r="C362" s="87"/>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ustomFormat="false" ht="14.25" hidden="false" customHeight="true" outlineLevel="0" collapsed="false">
      <c r="A363" s="45"/>
      <c r="B363" s="45"/>
      <c r="C363" s="87"/>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ustomFormat="false" ht="14.25" hidden="false" customHeight="true" outlineLevel="0" collapsed="false">
      <c r="A364" s="45"/>
      <c r="B364" s="45"/>
      <c r="C364" s="87"/>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ustomFormat="false" ht="14.25" hidden="false" customHeight="true" outlineLevel="0" collapsed="false">
      <c r="A365" s="45"/>
      <c r="B365" s="45"/>
      <c r="C365" s="87"/>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ustomFormat="false" ht="14.25" hidden="false" customHeight="true" outlineLevel="0" collapsed="false">
      <c r="A366" s="45"/>
      <c r="B366" s="45"/>
      <c r="C366" s="87"/>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ustomFormat="false" ht="14.25" hidden="false" customHeight="true" outlineLevel="0" collapsed="false">
      <c r="A367" s="45"/>
      <c r="B367" s="45"/>
      <c r="C367" s="87"/>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ustomFormat="false" ht="14.25" hidden="false" customHeight="true" outlineLevel="0" collapsed="false">
      <c r="A368" s="45"/>
      <c r="B368" s="45"/>
      <c r="C368" s="87"/>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ustomFormat="false" ht="14.25" hidden="false" customHeight="true" outlineLevel="0" collapsed="false">
      <c r="A369" s="45"/>
      <c r="B369" s="45"/>
      <c r="C369" s="87"/>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ustomFormat="false" ht="14.25" hidden="false" customHeight="true" outlineLevel="0" collapsed="false">
      <c r="A370" s="45"/>
      <c r="B370" s="45"/>
      <c r="C370" s="87"/>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ustomFormat="false" ht="14.25" hidden="false" customHeight="true" outlineLevel="0" collapsed="false">
      <c r="A371" s="45"/>
      <c r="B371" s="45"/>
      <c r="C371" s="87"/>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ustomFormat="false" ht="14.25" hidden="false" customHeight="true" outlineLevel="0" collapsed="false">
      <c r="A372" s="45"/>
      <c r="B372" s="45"/>
      <c r="C372" s="87"/>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ustomFormat="false" ht="14.25" hidden="false" customHeight="true" outlineLevel="0" collapsed="false">
      <c r="A373" s="45"/>
      <c r="B373" s="45"/>
      <c r="C373" s="87"/>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ustomFormat="false" ht="14.25" hidden="false" customHeight="true" outlineLevel="0" collapsed="false">
      <c r="A374" s="45"/>
      <c r="B374" s="45"/>
      <c r="C374" s="87"/>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ustomFormat="false" ht="14.25" hidden="false" customHeight="true" outlineLevel="0" collapsed="false">
      <c r="A375" s="45"/>
      <c r="B375" s="45"/>
      <c r="C375" s="87"/>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ustomFormat="false" ht="14.25" hidden="false" customHeight="true" outlineLevel="0" collapsed="false">
      <c r="A376" s="45"/>
      <c r="B376" s="45"/>
      <c r="C376" s="87"/>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ustomFormat="false" ht="14.25" hidden="false" customHeight="true" outlineLevel="0" collapsed="false">
      <c r="A377" s="45"/>
      <c r="B377" s="45"/>
      <c r="C377" s="87"/>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ustomFormat="false" ht="14.25" hidden="false" customHeight="true" outlineLevel="0" collapsed="false">
      <c r="A378" s="45"/>
      <c r="B378" s="45"/>
      <c r="C378" s="87"/>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ustomFormat="false" ht="14.25" hidden="false" customHeight="true" outlineLevel="0" collapsed="false">
      <c r="A379" s="45"/>
      <c r="B379" s="45"/>
      <c r="C379" s="87"/>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ustomFormat="false" ht="14.25" hidden="false" customHeight="true" outlineLevel="0" collapsed="false">
      <c r="A380" s="45"/>
      <c r="B380" s="45"/>
      <c r="C380" s="87"/>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ustomFormat="false" ht="14.25" hidden="false" customHeight="true" outlineLevel="0" collapsed="false">
      <c r="A381" s="45"/>
      <c r="B381" s="45"/>
      <c r="C381" s="87"/>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ustomFormat="false" ht="14.25" hidden="false" customHeight="true" outlineLevel="0" collapsed="false">
      <c r="A382" s="45"/>
      <c r="B382" s="45"/>
      <c r="C382" s="87"/>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ustomFormat="false" ht="14.25" hidden="false" customHeight="true" outlineLevel="0" collapsed="false">
      <c r="A383" s="45"/>
      <c r="B383" s="45"/>
      <c r="C383" s="87"/>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ustomFormat="false" ht="14.25" hidden="false" customHeight="true" outlineLevel="0" collapsed="false">
      <c r="A384" s="45"/>
      <c r="B384" s="45"/>
      <c r="C384" s="87"/>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ustomFormat="false" ht="14.25" hidden="false" customHeight="true" outlineLevel="0" collapsed="false">
      <c r="A385" s="45"/>
      <c r="B385" s="45"/>
      <c r="C385" s="87"/>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ustomFormat="false" ht="14.25" hidden="false" customHeight="true" outlineLevel="0" collapsed="false">
      <c r="A386" s="45"/>
      <c r="B386" s="45"/>
      <c r="C386" s="87"/>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ustomFormat="false" ht="14.25" hidden="false" customHeight="true" outlineLevel="0" collapsed="false">
      <c r="A387" s="45"/>
      <c r="B387" s="45"/>
      <c r="C387" s="87"/>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ustomFormat="false" ht="14.25" hidden="false" customHeight="true" outlineLevel="0" collapsed="false">
      <c r="A388" s="45"/>
      <c r="B388" s="45"/>
      <c r="C388" s="87"/>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ustomFormat="false" ht="14.25" hidden="false" customHeight="true" outlineLevel="0" collapsed="false">
      <c r="A389" s="45"/>
      <c r="B389" s="45"/>
      <c r="C389" s="87"/>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ustomFormat="false" ht="14.25" hidden="false" customHeight="true" outlineLevel="0" collapsed="false">
      <c r="A390" s="45"/>
      <c r="B390" s="45"/>
      <c r="C390" s="87"/>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ustomFormat="false" ht="14.25" hidden="false" customHeight="true" outlineLevel="0" collapsed="false">
      <c r="A391" s="45"/>
      <c r="B391" s="45"/>
      <c r="C391" s="87"/>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ustomFormat="false" ht="14.25" hidden="false" customHeight="true" outlineLevel="0" collapsed="false">
      <c r="A392" s="45"/>
      <c r="B392" s="45"/>
      <c r="C392" s="87"/>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ustomFormat="false" ht="14.25" hidden="false" customHeight="true" outlineLevel="0" collapsed="false">
      <c r="A393" s="45"/>
      <c r="B393" s="45"/>
      <c r="C393" s="87"/>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ustomFormat="false" ht="14.25" hidden="false" customHeight="true" outlineLevel="0" collapsed="false">
      <c r="A394" s="45"/>
      <c r="B394" s="45"/>
      <c r="C394" s="87"/>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ustomFormat="false" ht="14.25" hidden="false" customHeight="true" outlineLevel="0" collapsed="false">
      <c r="A395" s="45"/>
      <c r="B395" s="45"/>
      <c r="C395" s="87"/>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ustomFormat="false" ht="14.25" hidden="false" customHeight="true" outlineLevel="0" collapsed="false">
      <c r="A396" s="45"/>
      <c r="B396" s="45"/>
      <c r="C396" s="87"/>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ustomFormat="false" ht="14.25" hidden="false" customHeight="true" outlineLevel="0" collapsed="false">
      <c r="A397" s="45"/>
      <c r="B397" s="45"/>
      <c r="C397" s="87"/>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ustomFormat="false" ht="14.25" hidden="false" customHeight="true" outlineLevel="0" collapsed="false">
      <c r="A398" s="45"/>
      <c r="B398" s="45"/>
      <c r="C398" s="87"/>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ustomFormat="false" ht="14.25" hidden="false" customHeight="true" outlineLevel="0" collapsed="false">
      <c r="A399" s="45"/>
      <c r="B399" s="45"/>
      <c r="C399" s="87"/>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ustomFormat="false" ht="14.25" hidden="false" customHeight="true" outlineLevel="0" collapsed="false">
      <c r="A400" s="45"/>
      <c r="B400" s="45"/>
      <c r="C400" s="87"/>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ustomFormat="false" ht="14.25" hidden="false" customHeight="true" outlineLevel="0" collapsed="false">
      <c r="A401" s="45"/>
      <c r="B401" s="45"/>
      <c r="C401" s="87"/>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ustomFormat="false" ht="14.25" hidden="false" customHeight="true" outlineLevel="0" collapsed="false">
      <c r="A402" s="45"/>
      <c r="B402" s="45"/>
      <c r="C402" s="87"/>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ustomFormat="false" ht="14.25" hidden="false" customHeight="true" outlineLevel="0" collapsed="false">
      <c r="A403" s="45"/>
      <c r="B403" s="45"/>
      <c r="C403" s="87"/>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ustomFormat="false" ht="14.25" hidden="false" customHeight="true" outlineLevel="0" collapsed="false">
      <c r="A404" s="45"/>
      <c r="B404" s="45"/>
      <c r="C404" s="87"/>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ustomFormat="false" ht="14.25" hidden="false" customHeight="true" outlineLevel="0" collapsed="false">
      <c r="A405" s="45"/>
      <c r="B405" s="45"/>
      <c r="C405" s="87"/>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ustomFormat="false" ht="14.25" hidden="false" customHeight="true" outlineLevel="0" collapsed="false">
      <c r="A406" s="45"/>
      <c r="B406" s="45"/>
      <c r="C406" s="87"/>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ustomFormat="false" ht="14.25" hidden="false" customHeight="true" outlineLevel="0" collapsed="false">
      <c r="A407" s="45"/>
      <c r="B407" s="45"/>
      <c r="C407" s="87"/>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ustomFormat="false" ht="14.25" hidden="false" customHeight="true" outlineLevel="0" collapsed="false">
      <c r="A408" s="45"/>
      <c r="B408" s="45"/>
      <c r="C408" s="87"/>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ustomFormat="false" ht="14.25" hidden="false" customHeight="true" outlineLevel="0" collapsed="false">
      <c r="A409" s="45"/>
      <c r="B409" s="45"/>
      <c r="C409" s="87"/>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ustomFormat="false" ht="14.25" hidden="false" customHeight="true" outlineLevel="0" collapsed="false">
      <c r="A410" s="45"/>
      <c r="B410" s="45"/>
      <c r="C410" s="87"/>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ustomFormat="false" ht="14.25" hidden="false" customHeight="true" outlineLevel="0" collapsed="false">
      <c r="A411" s="45"/>
      <c r="B411" s="45"/>
      <c r="C411" s="87"/>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ustomFormat="false" ht="14.25" hidden="false" customHeight="true" outlineLevel="0" collapsed="false">
      <c r="A412" s="45"/>
      <c r="B412" s="45"/>
      <c r="C412" s="87"/>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ustomFormat="false" ht="14.25" hidden="false" customHeight="true" outlineLevel="0" collapsed="false">
      <c r="A413" s="45"/>
      <c r="B413" s="45"/>
      <c r="C413" s="87"/>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ustomFormat="false" ht="14.25" hidden="false" customHeight="true" outlineLevel="0" collapsed="false">
      <c r="A414" s="45"/>
      <c r="B414" s="45"/>
      <c r="C414" s="87"/>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ustomFormat="false" ht="14.25" hidden="false" customHeight="true" outlineLevel="0" collapsed="false">
      <c r="A415" s="45"/>
      <c r="B415" s="45"/>
      <c r="C415" s="87"/>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ustomFormat="false" ht="14.25" hidden="false" customHeight="true" outlineLevel="0" collapsed="false">
      <c r="A416" s="45"/>
      <c r="B416" s="45"/>
      <c r="C416" s="87"/>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ustomFormat="false" ht="14.25" hidden="false" customHeight="true" outlineLevel="0" collapsed="false">
      <c r="A417" s="45"/>
      <c r="B417" s="45"/>
      <c r="C417" s="87"/>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ustomFormat="false" ht="14.25" hidden="false" customHeight="true" outlineLevel="0" collapsed="false">
      <c r="A418" s="45"/>
      <c r="B418" s="45"/>
      <c r="C418" s="87"/>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ustomFormat="false" ht="14.25" hidden="false" customHeight="true" outlineLevel="0" collapsed="false">
      <c r="A419" s="45"/>
      <c r="B419" s="45"/>
      <c r="C419" s="87"/>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ustomFormat="false" ht="14.25" hidden="false" customHeight="true" outlineLevel="0" collapsed="false">
      <c r="A420" s="45"/>
      <c r="B420" s="45"/>
      <c r="C420" s="87"/>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ustomFormat="false" ht="14.25" hidden="false" customHeight="true" outlineLevel="0" collapsed="false">
      <c r="A421" s="45"/>
      <c r="B421" s="45"/>
      <c r="C421" s="87"/>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ustomFormat="false" ht="14.25" hidden="false" customHeight="true" outlineLevel="0" collapsed="false">
      <c r="A422" s="45"/>
      <c r="B422" s="45"/>
      <c r="C422" s="87"/>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ustomFormat="false" ht="14.25" hidden="false" customHeight="true" outlineLevel="0" collapsed="false">
      <c r="A423" s="45"/>
      <c r="B423" s="45"/>
      <c r="C423" s="87"/>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ustomFormat="false" ht="14.25" hidden="false" customHeight="true" outlineLevel="0" collapsed="false">
      <c r="A424" s="45"/>
      <c r="B424" s="45"/>
      <c r="C424" s="87"/>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ustomFormat="false" ht="14.25" hidden="false" customHeight="true" outlineLevel="0" collapsed="false">
      <c r="A425" s="45"/>
      <c r="B425" s="45"/>
      <c r="C425" s="87"/>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ustomFormat="false" ht="14.25" hidden="false" customHeight="true" outlineLevel="0" collapsed="false">
      <c r="A426" s="45"/>
      <c r="B426" s="45"/>
      <c r="C426" s="87"/>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ustomFormat="false" ht="14.25" hidden="false" customHeight="true" outlineLevel="0" collapsed="false">
      <c r="A427" s="45"/>
      <c r="B427" s="45"/>
      <c r="C427" s="87"/>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ustomFormat="false" ht="14.25" hidden="false" customHeight="true" outlineLevel="0" collapsed="false">
      <c r="A428" s="45"/>
      <c r="B428" s="45"/>
      <c r="C428" s="87"/>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ustomFormat="false" ht="14.25" hidden="false" customHeight="true" outlineLevel="0" collapsed="false">
      <c r="A429" s="45"/>
      <c r="B429" s="45"/>
      <c r="C429" s="87"/>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ustomFormat="false" ht="14.25" hidden="false" customHeight="true" outlineLevel="0" collapsed="false">
      <c r="A430" s="45"/>
      <c r="B430" s="45"/>
      <c r="C430" s="87"/>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ustomFormat="false" ht="14.25" hidden="false" customHeight="true" outlineLevel="0" collapsed="false">
      <c r="A431" s="45"/>
      <c r="B431" s="45"/>
      <c r="C431" s="87"/>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ustomFormat="false" ht="14.25" hidden="false" customHeight="true" outlineLevel="0" collapsed="false">
      <c r="A432" s="45"/>
      <c r="B432" s="45"/>
      <c r="C432" s="87"/>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ustomFormat="false" ht="14.25" hidden="false" customHeight="true" outlineLevel="0" collapsed="false">
      <c r="A433" s="45"/>
      <c r="B433" s="45"/>
      <c r="C433" s="87"/>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ustomFormat="false" ht="14.25" hidden="false" customHeight="true" outlineLevel="0" collapsed="false">
      <c r="A434" s="45"/>
      <c r="B434" s="45"/>
      <c r="C434" s="87"/>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ustomFormat="false" ht="14.25" hidden="false" customHeight="true" outlineLevel="0" collapsed="false">
      <c r="A435" s="45"/>
      <c r="B435" s="45"/>
      <c r="C435" s="87"/>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ustomFormat="false" ht="14.25" hidden="false" customHeight="true" outlineLevel="0" collapsed="false">
      <c r="A436" s="45"/>
      <c r="B436" s="45"/>
      <c r="C436" s="87"/>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ustomFormat="false" ht="14.25" hidden="false" customHeight="true" outlineLevel="0" collapsed="false">
      <c r="A437" s="45"/>
      <c r="B437" s="45"/>
      <c r="C437" s="87"/>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ustomFormat="false" ht="14.25" hidden="false" customHeight="true" outlineLevel="0" collapsed="false">
      <c r="A438" s="45"/>
      <c r="B438" s="45"/>
      <c r="C438" s="87"/>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ustomFormat="false" ht="14.25" hidden="false" customHeight="true" outlineLevel="0" collapsed="false">
      <c r="A439" s="45"/>
      <c r="B439" s="45"/>
      <c r="C439" s="87"/>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ustomFormat="false" ht="14.25" hidden="false" customHeight="true" outlineLevel="0" collapsed="false">
      <c r="A440" s="45"/>
      <c r="B440" s="45"/>
      <c r="C440" s="87"/>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ustomFormat="false" ht="14.25" hidden="false" customHeight="true" outlineLevel="0" collapsed="false">
      <c r="A441" s="45"/>
      <c r="B441" s="45"/>
      <c r="C441" s="87"/>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ustomFormat="false" ht="14.25" hidden="false" customHeight="true" outlineLevel="0" collapsed="false">
      <c r="A442" s="45"/>
      <c r="B442" s="45"/>
      <c r="C442" s="87"/>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ustomFormat="false" ht="14.25" hidden="false" customHeight="true" outlineLevel="0" collapsed="false">
      <c r="A443" s="45"/>
      <c r="B443" s="45"/>
      <c r="C443" s="87"/>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ustomFormat="false" ht="14.25" hidden="false" customHeight="true" outlineLevel="0" collapsed="false">
      <c r="A444" s="45"/>
      <c r="B444" s="45"/>
      <c r="C444" s="87"/>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ustomFormat="false" ht="14.25" hidden="false" customHeight="true" outlineLevel="0" collapsed="false">
      <c r="A445" s="45"/>
      <c r="B445" s="45"/>
      <c r="C445" s="87"/>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ustomFormat="false" ht="14.25" hidden="false" customHeight="true" outlineLevel="0" collapsed="false">
      <c r="A446" s="45"/>
      <c r="B446" s="45"/>
      <c r="C446" s="87"/>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ustomFormat="false" ht="14.25" hidden="false" customHeight="true" outlineLevel="0" collapsed="false">
      <c r="A447" s="45"/>
      <c r="B447" s="45"/>
      <c r="C447" s="87"/>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ustomFormat="false" ht="14.25" hidden="false" customHeight="true" outlineLevel="0" collapsed="false">
      <c r="A448" s="45"/>
      <c r="B448" s="45"/>
      <c r="C448" s="87"/>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ustomFormat="false" ht="14.25" hidden="false" customHeight="true" outlineLevel="0" collapsed="false">
      <c r="A449" s="45"/>
      <c r="B449" s="45"/>
      <c r="C449" s="87"/>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ustomFormat="false" ht="14.25" hidden="false" customHeight="true" outlineLevel="0" collapsed="false">
      <c r="A450" s="45"/>
      <c r="B450" s="45"/>
      <c r="C450" s="87"/>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ustomFormat="false" ht="14.25" hidden="false" customHeight="true" outlineLevel="0" collapsed="false">
      <c r="A451" s="45"/>
      <c r="B451" s="45"/>
      <c r="C451" s="87"/>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ustomFormat="false" ht="14.25" hidden="false" customHeight="true" outlineLevel="0" collapsed="false">
      <c r="A452" s="45"/>
      <c r="B452" s="45"/>
      <c r="C452" s="87"/>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ustomFormat="false" ht="14.25" hidden="false" customHeight="true" outlineLevel="0" collapsed="false">
      <c r="A453" s="45"/>
      <c r="B453" s="45"/>
      <c r="C453" s="87"/>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ustomFormat="false" ht="14.25" hidden="false" customHeight="true" outlineLevel="0" collapsed="false">
      <c r="A454" s="45"/>
      <c r="B454" s="45"/>
      <c r="C454" s="87"/>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ustomFormat="false" ht="14.25" hidden="false" customHeight="true" outlineLevel="0" collapsed="false">
      <c r="A455" s="45"/>
      <c r="B455" s="45"/>
      <c r="C455" s="87"/>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ustomFormat="false" ht="14.25" hidden="false" customHeight="true" outlineLevel="0" collapsed="false">
      <c r="A456" s="45"/>
      <c r="B456" s="45"/>
      <c r="C456" s="87"/>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ustomFormat="false" ht="14.25" hidden="false" customHeight="true" outlineLevel="0" collapsed="false">
      <c r="A457" s="45"/>
      <c r="B457" s="45"/>
      <c r="C457" s="87"/>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ustomFormat="false" ht="14.25" hidden="false" customHeight="true" outlineLevel="0" collapsed="false">
      <c r="A458" s="45"/>
      <c r="B458" s="45"/>
      <c r="C458" s="87"/>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ustomFormat="false" ht="14.25" hidden="false" customHeight="true" outlineLevel="0" collapsed="false">
      <c r="A459" s="45"/>
      <c r="B459" s="45"/>
      <c r="C459" s="87"/>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ustomFormat="false" ht="14.25" hidden="false" customHeight="true" outlineLevel="0" collapsed="false">
      <c r="A460" s="45"/>
      <c r="B460" s="45"/>
      <c r="C460" s="87"/>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ustomFormat="false" ht="14.25" hidden="false" customHeight="true" outlineLevel="0" collapsed="false">
      <c r="A461" s="45"/>
      <c r="B461" s="45"/>
      <c r="C461" s="87"/>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ustomFormat="false" ht="14.25" hidden="false" customHeight="true" outlineLevel="0" collapsed="false">
      <c r="A462" s="45"/>
      <c r="B462" s="45"/>
      <c r="C462" s="87"/>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ustomFormat="false" ht="14.25" hidden="false" customHeight="true" outlineLevel="0" collapsed="false">
      <c r="A463" s="45"/>
      <c r="B463" s="45"/>
      <c r="C463" s="87"/>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ustomFormat="false" ht="14.25" hidden="false" customHeight="true" outlineLevel="0" collapsed="false">
      <c r="A464" s="45"/>
      <c r="B464" s="45"/>
      <c r="C464" s="87"/>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ustomFormat="false" ht="14.25" hidden="false" customHeight="true" outlineLevel="0" collapsed="false">
      <c r="A465" s="45"/>
      <c r="B465" s="45"/>
      <c r="C465" s="87"/>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ustomFormat="false" ht="14.25" hidden="false" customHeight="true" outlineLevel="0" collapsed="false">
      <c r="A466" s="45"/>
      <c r="B466" s="45"/>
      <c r="C466" s="87"/>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ustomFormat="false" ht="14.25" hidden="false" customHeight="true" outlineLevel="0" collapsed="false">
      <c r="A467" s="45"/>
      <c r="B467" s="45"/>
      <c r="C467" s="87"/>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ustomFormat="false" ht="14.25" hidden="false" customHeight="true" outlineLevel="0" collapsed="false">
      <c r="A468" s="45"/>
      <c r="B468" s="45"/>
      <c r="C468" s="87"/>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ustomFormat="false" ht="14.25" hidden="false" customHeight="true" outlineLevel="0" collapsed="false">
      <c r="A469" s="45"/>
      <c r="B469" s="45"/>
      <c r="C469" s="87"/>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ustomFormat="false" ht="14.25" hidden="false" customHeight="true" outlineLevel="0" collapsed="false">
      <c r="A470" s="45"/>
      <c r="B470" s="45"/>
      <c r="C470" s="87"/>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ustomFormat="false" ht="14.25" hidden="false" customHeight="true" outlineLevel="0" collapsed="false">
      <c r="A471" s="45"/>
      <c r="B471" s="45"/>
      <c r="C471" s="87"/>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ustomFormat="false" ht="14.25" hidden="false" customHeight="true" outlineLevel="0" collapsed="false">
      <c r="A472" s="45"/>
      <c r="B472" s="45"/>
      <c r="C472" s="87"/>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ustomFormat="false" ht="14.25" hidden="false" customHeight="true" outlineLevel="0" collapsed="false">
      <c r="A473" s="45"/>
      <c r="B473" s="45"/>
      <c r="C473" s="87"/>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ustomFormat="false" ht="14.25" hidden="false" customHeight="true" outlineLevel="0" collapsed="false">
      <c r="A474" s="45"/>
      <c r="B474" s="45"/>
      <c r="C474" s="87"/>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ustomFormat="false" ht="14.25" hidden="false" customHeight="true" outlineLevel="0" collapsed="false">
      <c r="A475" s="45"/>
      <c r="B475" s="45"/>
      <c r="C475" s="87"/>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ustomFormat="false" ht="14.25" hidden="false" customHeight="true" outlineLevel="0" collapsed="false">
      <c r="A476" s="45"/>
      <c r="B476" s="45"/>
      <c r="C476" s="87"/>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ustomFormat="false" ht="14.25" hidden="false" customHeight="true" outlineLevel="0" collapsed="false">
      <c r="A477" s="45"/>
      <c r="B477" s="45"/>
      <c r="C477" s="87"/>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ustomFormat="false" ht="14.25" hidden="false" customHeight="true" outlineLevel="0" collapsed="false">
      <c r="A478" s="45"/>
      <c r="B478" s="45"/>
      <c r="C478" s="87"/>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ustomFormat="false" ht="14.25" hidden="false" customHeight="true" outlineLevel="0" collapsed="false">
      <c r="A479" s="45"/>
      <c r="B479" s="45"/>
      <c r="C479" s="87"/>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ustomFormat="false" ht="14.25" hidden="false" customHeight="true" outlineLevel="0" collapsed="false">
      <c r="A480" s="45"/>
      <c r="B480" s="45"/>
      <c r="C480" s="87"/>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ustomFormat="false" ht="14.25" hidden="false" customHeight="true" outlineLevel="0" collapsed="false">
      <c r="A481" s="45"/>
      <c r="B481" s="45"/>
      <c r="C481" s="87"/>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ustomFormat="false" ht="14.25" hidden="false" customHeight="true" outlineLevel="0" collapsed="false">
      <c r="A482" s="45"/>
      <c r="B482" s="45"/>
      <c r="C482" s="87"/>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ustomFormat="false" ht="14.25" hidden="false" customHeight="true" outlineLevel="0" collapsed="false">
      <c r="A483" s="45"/>
      <c r="B483" s="45"/>
      <c r="C483" s="87"/>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ustomFormat="false" ht="14.25" hidden="false" customHeight="true" outlineLevel="0" collapsed="false">
      <c r="A484" s="45"/>
      <c r="B484" s="45"/>
      <c r="C484" s="87"/>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ustomFormat="false" ht="14.25" hidden="false" customHeight="true" outlineLevel="0" collapsed="false">
      <c r="A485" s="45"/>
      <c r="B485" s="45"/>
      <c r="C485" s="87"/>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ustomFormat="false" ht="14.25" hidden="false" customHeight="true" outlineLevel="0" collapsed="false">
      <c r="A486" s="45"/>
      <c r="B486" s="45"/>
      <c r="C486" s="87"/>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ustomFormat="false" ht="14.25" hidden="false" customHeight="true" outlineLevel="0" collapsed="false">
      <c r="A487" s="45"/>
      <c r="B487" s="45"/>
      <c r="C487" s="87"/>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ustomFormat="false" ht="14.25" hidden="false" customHeight="true" outlineLevel="0" collapsed="false">
      <c r="A488" s="45"/>
      <c r="B488" s="45"/>
      <c r="C488" s="87"/>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ustomFormat="false" ht="14.25" hidden="false" customHeight="true" outlineLevel="0" collapsed="false">
      <c r="A489" s="45"/>
      <c r="B489" s="45"/>
      <c r="C489" s="87"/>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ustomFormat="false" ht="14.25" hidden="false" customHeight="true" outlineLevel="0" collapsed="false">
      <c r="A490" s="45"/>
      <c r="B490" s="45"/>
      <c r="C490" s="87"/>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ustomFormat="false" ht="14.25" hidden="false" customHeight="true" outlineLevel="0" collapsed="false">
      <c r="A491" s="45"/>
      <c r="B491" s="45"/>
      <c r="C491" s="87"/>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ustomFormat="false" ht="14.25" hidden="false" customHeight="true" outlineLevel="0" collapsed="false">
      <c r="A492" s="45"/>
      <c r="B492" s="45"/>
      <c r="C492" s="87"/>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ustomFormat="false" ht="14.25" hidden="false" customHeight="true" outlineLevel="0" collapsed="false">
      <c r="A493" s="45"/>
      <c r="B493" s="45"/>
      <c r="C493" s="87"/>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ustomFormat="false" ht="14.25" hidden="false" customHeight="true" outlineLevel="0" collapsed="false">
      <c r="A494" s="45"/>
      <c r="B494" s="45"/>
      <c r="C494" s="87"/>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ustomFormat="false" ht="14.25" hidden="false" customHeight="true" outlineLevel="0" collapsed="false">
      <c r="A495" s="45"/>
      <c r="B495" s="45"/>
      <c r="C495" s="87"/>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ustomFormat="false" ht="14.25" hidden="false" customHeight="true" outlineLevel="0" collapsed="false">
      <c r="A496" s="45"/>
      <c r="B496" s="45"/>
      <c r="C496" s="87"/>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ustomFormat="false" ht="14.25" hidden="false" customHeight="true" outlineLevel="0" collapsed="false">
      <c r="A497" s="45"/>
      <c r="B497" s="45"/>
      <c r="C497" s="87"/>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ustomFormat="false" ht="14.25" hidden="false" customHeight="true" outlineLevel="0" collapsed="false">
      <c r="A498" s="45"/>
      <c r="B498" s="45"/>
      <c r="C498" s="87"/>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ustomFormat="false" ht="14.25" hidden="false" customHeight="true" outlineLevel="0" collapsed="false">
      <c r="A499" s="45"/>
      <c r="B499" s="45"/>
      <c r="C499" s="87"/>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ustomFormat="false" ht="14.25" hidden="false" customHeight="true" outlineLevel="0" collapsed="false">
      <c r="A500" s="45"/>
      <c r="B500" s="45"/>
      <c r="C500" s="87"/>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ustomFormat="false" ht="14.25" hidden="false" customHeight="true" outlineLevel="0" collapsed="false">
      <c r="A501" s="45"/>
      <c r="B501" s="45"/>
      <c r="C501" s="87"/>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ustomFormat="false" ht="14.25" hidden="false" customHeight="true" outlineLevel="0" collapsed="false">
      <c r="A502" s="45"/>
      <c r="B502" s="45"/>
      <c r="C502" s="87"/>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ustomFormat="false" ht="14.25" hidden="false" customHeight="true" outlineLevel="0" collapsed="false">
      <c r="A503" s="45"/>
      <c r="B503" s="45"/>
      <c r="C503" s="87"/>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ustomFormat="false" ht="14.25" hidden="false" customHeight="true" outlineLevel="0" collapsed="false">
      <c r="A504" s="45"/>
      <c r="B504" s="45"/>
      <c r="C504" s="87"/>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ustomFormat="false" ht="14.25" hidden="false" customHeight="true" outlineLevel="0" collapsed="false">
      <c r="A505" s="45"/>
      <c r="B505" s="45"/>
      <c r="C505" s="87"/>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ustomFormat="false" ht="14.25" hidden="false" customHeight="true" outlineLevel="0" collapsed="false">
      <c r="A506" s="45"/>
      <c r="B506" s="45"/>
      <c r="C506" s="87"/>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ustomFormat="false" ht="14.25" hidden="false" customHeight="true" outlineLevel="0" collapsed="false">
      <c r="A507" s="45"/>
      <c r="B507" s="45"/>
      <c r="C507" s="87"/>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ustomFormat="false" ht="14.25" hidden="false" customHeight="true" outlineLevel="0" collapsed="false">
      <c r="A508" s="45"/>
      <c r="B508" s="45"/>
      <c r="C508" s="87"/>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ustomFormat="false" ht="14.25" hidden="false" customHeight="true" outlineLevel="0" collapsed="false">
      <c r="A509" s="45"/>
      <c r="B509" s="45"/>
      <c r="C509" s="87"/>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ustomFormat="false" ht="14.25" hidden="false" customHeight="true" outlineLevel="0" collapsed="false">
      <c r="A510" s="45"/>
      <c r="B510" s="45"/>
      <c r="C510" s="87"/>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ustomFormat="false" ht="14.25" hidden="false" customHeight="true" outlineLevel="0" collapsed="false">
      <c r="A511" s="45"/>
      <c r="B511" s="45"/>
      <c r="C511" s="87"/>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ustomFormat="false" ht="14.25" hidden="false" customHeight="true" outlineLevel="0" collapsed="false">
      <c r="A512" s="45"/>
      <c r="B512" s="45"/>
      <c r="C512" s="87"/>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ustomFormat="false" ht="14.25" hidden="false" customHeight="true" outlineLevel="0" collapsed="false">
      <c r="A513" s="45"/>
      <c r="B513" s="45"/>
      <c r="C513" s="87"/>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ustomFormat="false" ht="14.25" hidden="false" customHeight="true" outlineLevel="0" collapsed="false">
      <c r="A514" s="45"/>
      <c r="B514" s="45"/>
      <c r="C514" s="87"/>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ustomFormat="false" ht="14.25" hidden="false" customHeight="true" outlineLevel="0" collapsed="false">
      <c r="A515" s="45"/>
      <c r="B515" s="45"/>
      <c r="C515" s="87"/>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ustomFormat="false" ht="14.25" hidden="false" customHeight="true" outlineLevel="0" collapsed="false">
      <c r="A516" s="45"/>
      <c r="B516" s="45"/>
      <c r="C516" s="87"/>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ustomFormat="false" ht="14.25" hidden="false" customHeight="true" outlineLevel="0" collapsed="false">
      <c r="A517" s="45"/>
      <c r="B517" s="45"/>
      <c r="C517" s="87"/>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ustomFormat="false" ht="14.25" hidden="false" customHeight="true" outlineLevel="0" collapsed="false">
      <c r="A518" s="45"/>
      <c r="B518" s="45"/>
      <c r="C518" s="87"/>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ustomFormat="false" ht="14.25" hidden="false" customHeight="true" outlineLevel="0" collapsed="false">
      <c r="A519" s="45"/>
      <c r="B519" s="45"/>
      <c r="C519" s="87"/>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ustomFormat="false" ht="14.25" hidden="false" customHeight="true" outlineLevel="0" collapsed="false">
      <c r="A520" s="45"/>
      <c r="B520" s="45"/>
      <c r="C520" s="87"/>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ustomFormat="false" ht="14.25" hidden="false" customHeight="true" outlineLevel="0" collapsed="false">
      <c r="A521" s="45"/>
      <c r="B521" s="45"/>
      <c r="C521" s="87"/>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ustomFormat="false" ht="14.25" hidden="false" customHeight="true" outlineLevel="0" collapsed="false">
      <c r="A522" s="45"/>
      <c r="B522" s="45"/>
      <c r="C522" s="87"/>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ustomFormat="false" ht="14.25" hidden="false" customHeight="true" outlineLevel="0" collapsed="false">
      <c r="A523" s="45"/>
      <c r="B523" s="45"/>
      <c r="C523" s="87"/>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ustomFormat="false" ht="14.25" hidden="false" customHeight="true" outlineLevel="0" collapsed="false">
      <c r="A524" s="45"/>
      <c r="B524" s="45"/>
      <c r="C524" s="87"/>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ustomFormat="false" ht="14.25" hidden="false" customHeight="true" outlineLevel="0" collapsed="false">
      <c r="A525" s="45"/>
      <c r="B525" s="45"/>
      <c r="C525" s="87"/>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ustomFormat="false" ht="14.25" hidden="false" customHeight="true" outlineLevel="0" collapsed="false">
      <c r="A526" s="45"/>
      <c r="B526" s="45"/>
      <c r="C526" s="87"/>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ustomFormat="false" ht="14.25" hidden="false" customHeight="true" outlineLevel="0" collapsed="false">
      <c r="A527" s="45"/>
      <c r="B527" s="45"/>
      <c r="C527" s="87"/>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ustomFormat="false" ht="14.25" hidden="false" customHeight="true" outlineLevel="0" collapsed="false">
      <c r="A528" s="45"/>
      <c r="B528" s="45"/>
      <c r="C528" s="87"/>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ustomFormat="false" ht="14.25" hidden="false" customHeight="true" outlineLevel="0" collapsed="false">
      <c r="A529" s="45"/>
      <c r="B529" s="45"/>
      <c r="C529" s="87"/>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ustomFormat="false" ht="14.25" hidden="false" customHeight="true" outlineLevel="0" collapsed="false">
      <c r="A530" s="45"/>
      <c r="B530" s="45"/>
      <c r="C530" s="87"/>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ustomFormat="false" ht="14.25" hidden="false" customHeight="true" outlineLevel="0" collapsed="false">
      <c r="A531" s="45"/>
      <c r="B531" s="45"/>
      <c r="C531" s="87"/>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ustomFormat="false" ht="14.25" hidden="false" customHeight="true" outlineLevel="0" collapsed="false">
      <c r="A532" s="45"/>
      <c r="B532" s="45"/>
      <c r="C532" s="87"/>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ustomFormat="false" ht="14.25" hidden="false" customHeight="true" outlineLevel="0" collapsed="false">
      <c r="A533" s="45"/>
      <c r="B533" s="45"/>
      <c r="C533" s="87"/>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ustomFormat="false" ht="14.25" hidden="false" customHeight="true" outlineLevel="0" collapsed="false">
      <c r="A534" s="45"/>
      <c r="B534" s="45"/>
      <c r="C534" s="87"/>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ustomFormat="false" ht="14.25" hidden="false" customHeight="true" outlineLevel="0" collapsed="false">
      <c r="A535" s="45"/>
      <c r="B535" s="45"/>
      <c r="C535" s="87"/>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ustomFormat="false" ht="14.25" hidden="false" customHeight="true" outlineLevel="0" collapsed="false">
      <c r="A536" s="45"/>
      <c r="B536" s="45"/>
      <c r="C536" s="87"/>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ustomFormat="false" ht="14.25" hidden="false" customHeight="true" outlineLevel="0" collapsed="false">
      <c r="A537" s="45"/>
      <c r="B537" s="45"/>
      <c r="C537" s="87"/>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ustomFormat="false" ht="14.25" hidden="false" customHeight="true" outlineLevel="0" collapsed="false">
      <c r="A538" s="45"/>
      <c r="B538" s="45"/>
      <c r="C538" s="87"/>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ustomFormat="false" ht="14.25" hidden="false" customHeight="true" outlineLevel="0" collapsed="false">
      <c r="A539" s="45"/>
      <c r="B539" s="45"/>
      <c r="C539" s="87"/>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ustomFormat="false" ht="14.25" hidden="false" customHeight="true" outlineLevel="0" collapsed="false">
      <c r="A540" s="45"/>
      <c r="B540" s="45"/>
      <c r="C540" s="87"/>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ustomFormat="false" ht="14.25" hidden="false" customHeight="true" outlineLevel="0" collapsed="false">
      <c r="A541" s="45"/>
      <c r="B541" s="45"/>
      <c r="C541" s="87"/>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ustomFormat="false" ht="14.25" hidden="false" customHeight="true" outlineLevel="0" collapsed="false">
      <c r="A542" s="45"/>
      <c r="B542" s="45"/>
      <c r="C542" s="87"/>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ustomFormat="false" ht="14.25" hidden="false" customHeight="true" outlineLevel="0" collapsed="false">
      <c r="A543" s="45"/>
      <c r="B543" s="45"/>
      <c r="C543" s="87"/>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ustomFormat="false" ht="14.25" hidden="false" customHeight="true" outlineLevel="0" collapsed="false">
      <c r="A544" s="45"/>
      <c r="B544" s="45"/>
      <c r="C544" s="87"/>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ustomFormat="false" ht="14.25" hidden="false" customHeight="true" outlineLevel="0" collapsed="false">
      <c r="A545" s="45"/>
      <c r="B545" s="45"/>
      <c r="C545" s="87"/>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ustomFormat="false" ht="14.25" hidden="false" customHeight="true" outlineLevel="0" collapsed="false">
      <c r="A546" s="45"/>
      <c r="B546" s="45"/>
      <c r="C546" s="87"/>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ustomFormat="false" ht="14.25" hidden="false" customHeight="true" outlineLevel="0" collapsed="false">
      <c r="A547" s="45"/>
      <c r="B547" s="45"/>
      <c r="C547" s="87"/>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ustomFormat="false" ht="14.25" hidden="false" customHeight="true" outlineLevel="0" collapsed="false">
      <c r="A548" s="45"/>
      <c r="B548" s="45"/>
      <c r="C548" s="87"/>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ustomFormat="false" ht="14.25" hidden="false" customHeight="true" outlineLevel="0" collapsed="false">
      <c r="A549" s="45"/>
      <c r="B549" s="45"/>
      <c r="C549" s="87"/>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ustomFormat="false" ht="14.25" hidden="false" customHeight="true" outlineLevel="0" collapsed="false">
      <c r="A550" s="45"/>
      <c r="B550" s="45"/>
      <c r="C550" s="87"/>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ustomFormat="false" ht="14.25" hidden="false" customHeight="true" outlineLevel="0" collapsed="false">
      <c r="A551" s="45"/>
      <c r="B551" s="45"/>
      <c r="C551" s="87"/>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ustomFormat="false" ht="14.25" hidden="false" customHeight="true" outlineLevel="0" collapsed="false">
      <c r="A552" s="45"/>
      <c r="B552" s="45"/>
      <c r="C552" s="87"/>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ustomFormat="false" ht="14.25" hidden="false" customHeight="true" outlineLevel="0" collapsed="false">
      <c r="A553" s="45"/>
      <c r="B553" s="45"/>
      <c r="C553" s="87"/>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ustomFormat="false" ht="14.25" hidden="false" customHeight="true" outlineLevel="0" collapsed="false">
      <c r="A554" s="45"/>
      <c r="B554" s="45"/>
      <c r="C554" s="87"/>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ustomFormat="false" ht="14.25" hidden="false" customHeight="true" outlineLevel="0" collapsed="false">
      <c r="A555" s="45"/>
      <c r="B555" s="45"/>
      <c r="C555" s="87"/>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ustomFormat="false" ht="14.25" hidden="false" customHeight="true" outlineLevel="0" collapsed="false">
      <c r="A556" s="45"/>
      <c r="B556" s="45"/>
      <c r="C556" s="87"/>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ustomFormat="false" ht="14.25" hidden="false" customHeight="true" outlineLevel="0" collapsed="false">
      <c r="A557" s="45"/>
      <c r="B557" s="45"/>
      <c r="C557" s="87"/>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ustomFormat="false" ht="14.25" hidden="false" customHeight="true" outlineLevel="0" collapsed="false">
      <c r="A558" s="45"/>
      <c r="B558" s="45"/>
      <c r="C558" s="87"/>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ustomFormat="false" ht="14.25" hidden="false" customHeight="true" outlineLevel="0" collapsed="false">
      <c r="A559" s="45"/>
      <c r="B559" s="45"/>
      <c r="C559" s="87"/>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ustomFormat="false" ht="14.25" hidden="false" customHeight="true" outlineLevel="0" collapsed="false">
      <c r="A560" s="45"/>
      <c r="B560" s="45"/>
      <c r="C560" s="87"/>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ustomFormat="false" ht="14.25" hidden="false" customHeight="true" outlineLevel="0" collapsed="false">
      <c r="A561" s="45"/>
      <c r="B561" s="45"/>
      <c r="C561" s="87"/>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ustomFormat="false" ht="14.25" hidden="false" customHeight="true" outlineLevel="0" collapsed="false">
      <c r="A562" s="45"/>
      <c r="B562" s="45"/>
      <c r="C562" s="87"/>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ustomFormat="false" ht="14.25" hidden="false" customHeight="true" outlineLevel="0" collapsed="false">
      <c r="A563" s="45"/>
      <c r="B563" s="45"/>
      <c r="C563" s="87"/>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ustomFormat="false" ht="14.25" hidden="false" customHeight="true" outlineLevel="0" collapsed="false">
      <c r="A564" s="45"/>
      <c r="B564" s="45"/>
      <c r="C564" s="87"/>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ustomFormat="false" ht="14.25" hidden="false" customHeight="true" outlineLevel="0" collapsed="false">
      <c r="A565" s="45"/>
      <c r="B565" s="45"/>
      <c r="C565" s="87"/>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ustomFormat="false" ht="14.25" hidden="false" customHeight="true" outlineLevel="0" collapsed="false">
      <c r="A566" s="45"/>
      <c r="B566" s="45"/>
      <c r="C566" s="87"/>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ustomFormat="false" ht="14.25" hidden="false" customHeight="true" outlineLevel="0" collapsed="false">
      <c r="A567" s="45"/>
      <c r="B567" s="45"/>
      <c r="C567" s="87"/>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ustomFormat="false" ht="14.25" hidden="false" customHeight="true" outlineLevel="0" collapsed="false">
      <c r="A568" s="45"/>
      <c r="B568" s="45"/>
      <c r="C568" s="87"/>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ustomFormat="false" ht="14.25" hidden="false" customHeight="true" outlineLevel="0" collapsed="false">
      <c r="A569" s="45"/>
      <c r="B569" s="45"/>
      <c r="C569" s="87"/>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ustomFormat="false" ht="14.25" hidden="false" customHeight="true" outlineLevel="0" collapsed="false">
      <c r="A570" s="45"/>
      <c r="B570" s="45"/>
      <c r="C570" s="87"/>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ustomFormat="false" ht="14.25" hidden="false" customHeight="true" outlineLevel="0" collapsed="false">
      <c r="A571" s="45"/>
      <c r="B571" s="45"/>
      <c r="C571" s="87"/>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ustomFormat="false" ht="14.25" hidden="false" customHeight="true" outlineLevel="0" collapsed="false">
      <c r="A572" s="45"/>
      <c r="B572" s="45"/>
      <c r="C572" s="87"/>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ustomFormat="false" ht="14.25" hidden="false" customHeight="true" outlineLevel="0" collapsed="false">
      <c r="A573" s="45"/>
      <c r="B573" s="45"/>
      <c r="C573" s="87"/>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ustomFormat="false" ht="14.25" hidden="false" customHeight="true" outlineLevel="0" collapsed="false">
      <c r="A574" s="45"/>
      <c r="B574" s="45"/>
      <c r="C574" s="87"/>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ustomFormat="false" ht="14.25" hidden="false" customHeight="true" outlineLevel="0" collapsed="false">
      <c r="A575" s="45"/>
      <c r="B575" s="45"/>
      <c r="C575" s="87"/>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ustomFormat="false" ht="14.25" hidden="false" customHeight="true" outlineLevel="0" collapsed="false">
      <c r="A576" s="45"/>
      <c r="B576" s="45"/>
      <c r="C576" s="87"/>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ustomFormat="false" ht="14.25" hidden="false" customHeight="true" outlineLevel="0" collapsed="false">
      <c r="A577" s="45"/>
      <c r="B577" s="45"/>
      <c r="C577" s="87"/>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ustomFormat="false" ht="14.25" hidden="false" customHeight="true" outlineLevel="0" collapsed="false">
      <c r="A578" s="45"/>
      <c r="B578" s="45"/>
      <c r="C578" s="87"/>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ustomFormat="false" ht="14.25" hidden="false" customHeight="true" outlineLevel="0" collapsed="false">
      <c r="A579" s="45"/>
      <c r="B579" s="45"/>
      <c r="C579" s="87"/>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ustomFormat="false" ht="14.25" hidden="false" customHeight="true" outlineLevel="0" collapsed="false">
      <c r="A580" s="45"/>
      <c r="B580" s="45"/>
      <c r="C580" s="87"/>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ustomFormat="false" ht="14.25" hidden="false" customHeight="true" outlineLevel="0" collapsed="false">
      <c r="A581" s="45"/>
      <c r="B581" s="45"/>
      <c r="C581" s="87"/>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ustomFormat="false" ht="14.25" hidden="false" customHeight="true" outlineLevel="0" collapsed="false">
      <c r="A582" s="45"/>
      <c r="B582" s="45"/>
      <c r="C582" s="87"/>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ustomFormat="false" ht="14.25" hidden="false" customHeight="true" outlineLevel="0" collapsed="false">
      <c r="A583" s="45"/>
      <c r="B583" s="45"/>
      <c r="C583" s="87"/>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ustomFormat="false" ht="14.25" hidden="false" customHeight="true" outlineLevel="0" collapsed="false">
      <c r="A584" s="45"/>
      <c r="B584" s="45"/>
      <c r="C584" s="87"/>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ustomFormat="false" ht="14.25" hidden="false" customHeight="true" outlineLevel="0" collapsed="false">
      <c r="A585" s="45"/>
      <c r="B585" s="45"/>
      <c r="C585" s="87"/>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ustomFormat="false" ht="14.25" hidden="false" customHeight="true" outlineLevel="0" collapsed="false">
      <c r="A586" s="45"/>
      <c r="B586" s="45"/>
      <c r="C586" s="87"/>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ustomFormat="false" ht="14.25" hidden="false" customHeight="true" outlineLevel="0" collapsed="false">
      <c r="A587" s="45"/>
      <c r="B587" s="45"/>
      <c r="C587" s="87"/>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ustomFormat="false" ht="14.25" hidden="false" customHeight="true" outlineLevel="0" collapsed="false">
      <c r="A588" s="45"/>
      <c r="B588" s="45"/>
      <c r="C588" s="87"/>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ustomFormat="false" ht="14.25" hidden="false" customHeight="true" outlineLevel="0" collapsed="false">
      <c r="A589" s="45"/>
      <c r="B589" s="45"/>
      <c r="C589" s="87"/>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ustomFormat="false" ht="14.25" hidden="false" customHeight="true" outlineLevel="0" collapsed="false">
      <c r="A590" s="45"/>
      <c r="B590" s="45"/>
      <c r="C590" s="87"/>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ustomFormat="false" ht="14.25" hidden="false" customHeight="true" outlineLevel="0" collapsed="false">
      <c r="A591" s="45"/>
      <c r="B591" s="45"/>
      <c r="C591" s="87"/>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ustomFormat="false" ht="14.25" hidden="false" customHeight="true" outlineLevel="0" collapsed="false">
      <c r="A592" s="45"/>
      <c r="B592" s="45"/>
      <c r="C592" s="87"/>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ustomFormat="false" ht="14.25" hidden="false" customHeight="true" outlineLevel="0" collapsed="false">
      <c r="A593" s="45"/>
      <c r="B593" s="45"/>
      <c r="C593" s="87"/>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ustomFormat="false" ht="14.25" hidden="false" customHeight="true" outlineLevel="0" collapsed="false">
      <c r="A594" s="45"/>
      <c r="B594" s="45"/>
      <c r="C594" s="87"/>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ustomFormat="false" ht="14.25" hidden="false" customHeight="true" outlineLevel="0" collapsed="false">
      <c r="A595" s="45"/>
      <c r="B595" s="45"/>
      <c r="C595" s="87"/>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ustomFormat="false" ht="14.25" hidden="false" customHeight="true" outlineLevel="0" collapsed="false">
      <c r="A596" s="45"/>
      <c r="B596" s="45"/>
      <c r="C596" s="87"/>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ustomFormat="false" ht="14.25" hidden="false" customHeight="true" outlineLevel="0" collapsed="false">
      <c r="A597" s="45"/>
      <c r="B597" s="45"/>
      <c r="C597" s="87"/>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ustomFormat="false" ht="14.25" hidden="false" customHeight="true" outlineLevel="0" collapsed="false">
      <c r="A598" s="45"/>
      <c r="B598" s="45"/>
      <c r="C598" s="87"/>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ustomFormat="false" ht="14.25" hidden="false" customHeight="true" outlineLevel="0" collapsed="false">
      <c r="A599" s="45"/>
      <c r="B599" s="45"/>
      <c r="C599" s="87"/>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ustomFormat="false" ht="14.25" hidden="false" customHeight="true" outlineLevel="0" collapsed="false">
      <c r="A600" s="45"/>
      <c r="B600" s="45"/>
      <c r="C600" s="87"/>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ustomFormat="false" ht="14.25" hidden="false" customHeight="true" outlineLevel="0" collapsed="false">
      <c r="A601" s="45"/>
      <c r="B601" s="45"/>
      <c r="C601" s="87"/>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ustomFormat="false" ht="14.25" hidden="false" customHeight="true" outlineLevel="0" collapsed="false">
      <c r="A602" s="45"/>
      <c r="B602" s="45"/>
      <c r="C602" s="87"/>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ustomFormat="false" ht="14.25" hidden="false" customHeight="true" outlineLevel="0" collapsed="false">
      <c r="A603" s="45"/>
      <c r="B603" s="45"/>
      <c r="C603" s="87"/>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ustomFormat="false" ht="14.25" hidden="false" customHeight="true" outlineLevel="0" collapsed="false">
      <c r="A604" s="45"/>
      <c r="B604" s="45"/>
      <c r="C604" s="87"/>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ustomFormat="false" ht="14.25" hidden="false" customHeight="true" outlineLevel="0" collapsed="false">
      <c r="A605" s="45"/>
      <c r="B605" s="45"/>
      <c r="C605" s="87"/>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ustomFormat="false" ht="14.25" hidden="false" customHeight="true" outlineLevel="0" collapsed="false">
      <c r="A606" s="45"/>
      <c r="B606" s="45"/>
      <c r="C606" s="87"/>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ustomFormat="false" ht="14.25" hidden="false" customHeight="true" outlineLevel="0" collapsed="false">
      <c r="A607" s="45"/>
      <c r="B607" s="45"/>
      <c r="C607" s="87"/>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ustomFormat="false" ht="14.25" hidden="false" customHeight="true" outlineLevel="0" collapsed="false">
      <c r="A608" s="45"/>
      <c r="B608" s="45"/>
      <c r="C608" s="87"/>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ustomFormat="false" ht="14.25" hidden="false" customHeight="true" outlineLevel="0" collapsed="false">
      <c r="A609" s="45"/>
      <c r="B609" s="45"/>
      <c r="C609" s="87"/>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ustomFormat="false" ht="14.25" hidden="false" customHeight="true" outlineLevel="0" collapsed="false">
      <c r="A610" s="45"/>
      <c r="B610" s="45"/>
      <c r="C610" s="87"/>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ustomFormat="false" ht="14.25" hidden="false" customHeight="true" outlineLevel="0" collapsed="false">
      <c r="A611" s="45"/>
      <c r="B611" s="45"/>
      <c r="C611" s="87"/>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ustomFormat="false" ht="14.25" hidden="false" customHeight="true" outlineLevel="0" collapsed="false">
      <c r="A612" s="45"/>
      <c r="B612" s="45"/>
      <c r="C612" s="87"/>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ustomFormat="false" ht="14.25" hidden="false" customHeight="true" outlineLevel="0" collapsed="false">
      <c r="A613" s="45"/>
      <c r="B613" s="45"/>
      <c r="C613" s="87"/>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ustomFormat="false" ht="14.25" hidden="false" customHeight="true" outlineLevel="0" collapsed="false">
      <c r="A614" s="45"/>
      <c r="B614" s="45"/>
      <c r="C614" s="87"/>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ustomFormat="false" ht="14.25" hidden="false" customHeight="true" outlineLevel="0" collapsed="false">
      <c r="A615" s="45"/>
      <c r="B615" s="45"/>
      <c r="C615" s="87"/>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ustomFormat="false" ht="14.25" hidden="false" customHeight="true" outlineLevel="0" collapsed="false">
      <c r="A616" s="45"/>
      <c r="B616" s="45"/>
      <c r="C616" s="87"/>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ustomFormat="false" ht="14.25" hidden="false" customHeight="true" outlineLevel="0" collapsed="false">
      <c r="A617" s="45"/>
      <c r="B617" s="45"/>
      <c r="C617" s="87"/>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ustomFormat="false" ht="14.25" hidden="false" customHeight="true" outlineLevel="0" collapsed="false">
      <c r="A618" s="45"/>
      <c r="B618" s="45"/>
      <c r="C618" s="87"/>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ustomFormat="false" ht="14.25" hidden="false" customHeight="true" outlineLevel="0" collapsed="false">
      <c r="A619" s="45"/>
      <c r="B619" s="45"/>
      <c r="C619" s="87"/>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ustomFormat="false" ht="14.25" hidden="false" customHeight="true" outlineLevel="0" collapsed="false">
      <c r="A620" s="45"/>
      <c r="B620" s="45"/>
      <c r="C620" s="87"/>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ustomFormat="false" ht="14.25" hidden="false" customHeight="true" outlineLevel="0" collapsed="false">
      <c r="A621" s="45"/>
      <c r="B621" s="45"/>
      <c r="C621" s="87"/>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ustomFormat="false" ht="14.25" hidden="false" customHeight="true" outlineLevel="0" collapsed="false">
      <c r="A622" s="45"/>
      <c r="B622" s="45"/>
      <c r="C622" s="87"/>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ustomFormat="false" ht="14.25" hidden="false" customHeight="true" outlineLevel="0" collapsed="false">
      <c r="A623" s="45"/>
      <c r="B623" s="45"/>
      <c r="C623" s="87"/>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ustomFormat="false" ht="14.25" hidden="false" customHeight="true" outlineLevel="0" collapsed="false">
      <c r="A624" s="45"/>
      <c r="B624" s="45"/>
      <c r="C624" s="87"/>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ustomFormat="false" ht="14.25" hidden="false" customHeight="true" outlineLevel="0" collapsed="false">
      <c r="A625" s="45"/>
      <c r="B625" s="45"/>
      <c r="C625" s="87"/>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ustomFormat="false" ht="14.25" hidden="false" customHeight="true" outlineLevel="0" collapsed="false">
      <c r="A626" s="45"/>
      <c r="B626" s="45"/>
      <c r="C626" s="87"/>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ustomFormat="false" ht="14.25" hidden="false" customHeight="true" outlineLevel="0" collapsed="false">
      <c r="A627" s="45"/>
      <c r="B627" s="45"/>
      <c r="C627" s="87"/>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ustomFormat="false" ht="14.25" hidden="false" customHeight="true" outlineLevel="0" collapsed="false">
      <c r="A628" s="45"/>
      <c r="B628" s="45"/>
      <c r="C628" s="87"/>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ustomFormat="false" ht="14.25" hidden="false" customHeight="true" outlineLevel="0" collapsed="false">
      <c r="A629" s="45"/>
      <c r="B629" s="45"/>
      <c r="C629" s="87"/>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ustomFormat="false" ht="14.25" hidden="false" customHeight="true" outlineLevel="0" collapsed="false">
      <c r="A630" s="45"/>
      <c r="B630" s="45"/>
      <c r="C630" s="87"/>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ustomFormat="false" ht="14.25" hidden="false" customHeight="true" outlineLevel="0" collapsed="false">
      <c r="A631" s="45"/>
      <c r="B631" s="45"/>
      <c r="C631" s="87"/>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ustomFormat="false" ht="14.25" hidden="false" customHeight="true" outlineLevel="0" collapsed="false">
      <c r="A632" s="45"/>
      <c r="B632" s="45"/>
      <c r="C632" s="87"/>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ustomFormat="false" ht="14.25" hidden="false" customHeight="true" outlineLevel="0" collapsed="false">
      <c r="A633" s="45"/>
      <c r="B633" s="45"/>
      <c r="C633" s="87"/>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ustomFormat="false" ht="14.25" hidden="false" customHeight="true" outlineLevel="0" collapsed="false">
      <c r="A634" s="45"/>
      <c r="B634" s="45"/>
      <c r="C634" s="87"/>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ustomFormat="false" ht="14.25" hidden="false" customHeight="true" outlineLevel="0" collapsed="false">
      <c r="A635" s="45"/>
      <c r="B635" s="45"/>
      <c r="C635" s="87"/>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ustomFormat="false" ht="14.25" hidden="false" customHeight="true" outlineLevel="0" collapsed="false">
      <c r="A636" s="45"/>
      <c r="B636" s="45"/>
      <c r="C636" s="87"/>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ustomFormat="false" ht="14.25" hidden="false" customHeight="true" outlineLevel="0" collapsed="false">
      <c r="A637" s="45"/>
      <c r="B637" s="45"/>
      <c r="C637" s="87"/>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ustomFormat="false" ht="14.25" hidden="false" customHeight="true" outlineLevel="0" collapsed="false">
      <c r="A638" s="45"/>
      <c r="B638" s="45"/>
      <c r="C638" s="87"/>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ustomFormat="false" ht="14.25" hidden="false" customHeight="true" outlineLevel="0" collapsed="false">
      <c r="A639" s="45"/>
      <c r="B639" s="45"/>
      <c r="C639" s="87"/>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ustomFormat="false" ht="14.25" hidden="false" customHeight="true" outlineLevel="0" collapsed="false">
      <c r="A640" s="45"/>
      <c r="B640" s="45"/>
      <c r="C640" s="87"/>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ustomFormat="false" ht="14.25" hidden="false" customHeight="true" outlineLevel="0" collapsed="false">
      <c r="A641" s="45"/>
      <c r="B641" s="45"/>
      <c r="C641" s="87"/>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ustomFormat="false" ht="14.25" hidden="false" customHeight="true" outlineLevel="0" collapsed="false">
      <c r="A642" s="45"/>
      <c r="B642" s="45"/>
      <c r="C642" s="87"/>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ustomFormat="false" ht="14.25" hidden="false" customHeight="true" outlineLevel="0" collapsed="false">
      <c r="A643" s="45"/>
      <c r="B643" s="45"/>
      <c r="C643" s="87"/>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ustomFormat="false" ht="14.25" hidden="false" customHeight="true" outlineLevel="0" collapsed="false">
      <c r="A644" s="45"/>
      <c r="B644" s="45"/>
      <c r="C644" s="87"/>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ustomFormat="false" ht="14.25" hidden="false" customHeight="true" outlineLevel="0" collapsed="false">
      <c r="A645" s="45"/>
      <c r="B645" s="45"/>
      <c r="C645" s="87"/>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ustomFormat="false" ht="14.25" hidden="false" customHeight="true" outlineLevel="0" collapsed="false">
      <c r="A646" s="45"/>
      <c r="B646" s="45"/>
      <c r="C646" s="87"/>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ustomFormat="false" ht="14.25" hidden="false" customHeight="true" outlineLevel="0" collapsed="false">
      <c r="A647" s="45"/>
      <c r="B647" s="45"/>
      <c r="C647" s="87"/>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ustomFormat="false" ht="14.25" hidden="false" customHeight="true" outlineLevel="0" collapsed="false">
      <c r="A648" s="45"/>
      <c r="B648" s="45"/>
      <c r="C648" s="87"/>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ustomFormat="false" ht="14.25" hidden="false" customHeight="true" outlineLevel="0" collapsed="false">
      <c r="A649" s="45"/>
      <c r="B649" s="45"/>
      <c r="C649" s="87"/>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ustomFormat="false" ht="14.25" hidden="false" customHeight="true" outlineLevel="0" collapsed="false">
      <c r="A650" s="45"/>
      <c r="B650" s="45"/>
      <c r="C650" s="87"/>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ustomFormat="false" ht="14.25" hidden="false" customHeight="true" outlineLevel="0" collapsed="false">
      <c r="A651" s="45"/>
      <c r="B651" s="45"/>
      <c r="C651" s="87"/>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ustomFormat="false" ht="14.25" hidden="false" customHeight="true" outlineLevel="0" collapsed="false">
      <c r="A652" s="45"/>
      <c r="B652" s="45"/>
      <c r="C652" s="87"/>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ustomFormat="false" ht="14.25" hidden="false" customHeight="true" outlineLevel="0" collapsed="false">
      <c r="A653" s="45"/>
      <c r="B653" s="45"/>
      <c r="C653" s="87"/>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ustomFormat="false" ht="14.25" hidden="false" customHeight="true" outlineLevel="0" collapsed="false">
      <c r="A654" s="45"/>
      <c r="B654" s="45"/>
      <c r="C654" s="87"/>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ustomFormat="false" ht="14.25" hidden="false" customHeight="true" outlineLevel="0" collapsed="false">
      <c r="A655" s="45"/>
      <c r="B655" s="45"/>
      <c r="C655" s="87"/>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ustomFormat="false" ht="14.25" hidden="false" customHeight="true" outlineLevel="0" collapsed="false">
      <c r="A656" s="45"/>
      <c r="B656" s="45"/>
      <c r="C656" s="87"/>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ustomFormat="false" ht="14.25" hidden="false" customHeight="true" outlineLevel="0" collapsed="false">
      <c r="A657" s="45"/>
      <c r="B657" s="45"/>
      <c r="C657" s="87"/>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ustomFormat="false" ht="14.25" hidden="false" customHeight="true" outlineLevel="0" collapsed="false">
      <c r="A658" s="45"/>
      <c r="B658" s="45"/>
      <c r="C658" s="87"/>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ustomFormat="false" ht="14.25" hidden="false" customHeight="true" outlineLevel="0" collapsed="false">
      <c r="A659" s="45"/>
      <c r="B659" s="45"/>
      <c r="C659" s="87"/>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ustomFormat="false" ht="14.25" hidden="false" customHeight="true" outlineLevel="0" collapsed="false">
      <c r="A660" s="45"/>
      <c r="B660" s="45"/>
      <c r="C660" s="87"/>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ustomFormat="false" ht="14.25" hidden="false" customHeight="true" outlineLevel="0" collapsed="false">
      <c r="A661" s="45"/>
      <c r="B661" s="45"/>
      <c r="C661" s="87"/>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ustomFormat="false" ht="14.25" hidden="false" customHeight="true" outlineLevel="0" collapsed="false">
      <c r="A662" s="45"/>
      <c r="B662" s="45"/>
      <c r="C662" s="87"/>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ustomFormat="false" ht="14.25" hidden="false" customHeight="true" outlineLevel="0" collapsed="false">
      <c r="A663" s="45"/>
      <c r="B663" s="45"/>
      <c r="C663" s="87"/>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ustomFormat="false" ht="14.25" hidden="false" customHeight="true" outlineLevel="0" collapsed="false">
      <c r="A664" s="45"/>
      <c r="B664" s="45"/>
      <c r="C664" s="87"/>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ustomFormat="false" ht="14.25" hidden="false" customHeight="true" outlineLevel="0" collapsed="false">
      <c r="A665" s="45"/>
      <c r="B665" s="45"/>
      <c r="C665" s="87"/>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ustomFormat="false" ht="14.25" hidden="false" customHeight="true" outlineLevel="0" collapsed="false">
      <c r="A666" s="45"/>
      <c r="B666" s="45"/>
      <c r="C666" s="87"/>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ustomFormat="false" ht="14.25" hidden="false" customHeight="true" outlineLevel="0" collapsed="false">
      <c r="A667" s="45"/>
      <c r="B667" s="45"/>
      <c r="C667" s="87"/>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ustomFormat="false" ht="14.25" hidden="false" customHeight="true" outlineLevel="0" collapsed="false">
      <c r="A668" s="45"/>
      <c r="B668" s="45"/>
      <c r="C668" s="87"/>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ustomFormat="false" ht="14.25" hidden="false" customHeight="true" outlineLevel="0" collapsed="false">
      <c r="A669" s="45"/>
      <c r="B669" s="45"/>
      <c r="C669" s="87"/>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ustomFormat="false" ht="14.25" hidden="false" customHeight="true" outlineLevel="0" collapsed="false">
      <c r="A670" s="45"/>
      <c r="B670" s="45"/>
      <c r="C670" s="87"/>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ustomFormat="false" ht="14.25" hidden="false" customHeight="true" outlineLevel="0" collapsed="false">
      <c r="A671" s="45"/>
      <c r="B671" s="45"/>
      <c r="C671" s="87"/>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ustomFormat="false" ht="14.25" hidden="false" customHeight="true" outlineLevel="0" collapsed="false">
      <c r="A672" s="45"/>
      <c r="B672" s="45"/>
      <c r="C672" s="87"/>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ustomFormat="false" ht="14.25" hidden="false" customHeight="true" outlineLevel="0" collapsed="false">
      <c r="A673" s="45"/>
      <c r="B673" s="45"/>
      <c r="C673" s="87"/>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ustomFormat="false" ht="14.25" hidden="false" customHeight="true" outlineLevel="0" collapsed="false">
      <c r="A674" s="45"/>
      <c r="B674" s="45"/>
      <c r="C674" s="87"/>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ustomFormat="false" ht="14.25" hidden="false" customHeight="true" outlineLevel="0" collapsed="false">
      <c r="A675" s="45"/>
      <c r="B675" s="45"/>
      <c r="C675" s="87"/>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ustomFormat="false" ht="14.25" hidden="false" customHeight="true" outlineLevel="0" collapsed="false">
      <c r="A676" s="45"/>
      <c r="B676" s="45"/>
      <c r="C676" s="87"/>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ustomFormat="false" ht="14.25" hidden="false" customHeight="true" outlineLevel="0" collapsed="false">
      <c r="A677" s="45"/>
      <c r="B677" s="45"/>
      <c r="C677" s="87"/>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ustomFormat="false" ht="14.25" hidden="false" customHeight="true" outlineLevel="0" collapsed="false">
      <c r="A678" s="45"/>
      <c r="B678" s="45"/>
      <c r="C678" s="87"/>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ustomFormat="false" ht="14.25" hidden="false" customHeight="true" outlineLevel="0" collapsed="false">
      <c r="A679" s="45"/>
      <c r="B679" s="45"/>
      <c r="C679" s="87"/>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ustomFormat="false" ht="14.25" hidden="false" customHeight="true" outlineLevel="0" collapsed="false">
      <c r="A680" s="45"/>
      <c r="B680" s="45"/>
      <c r="C680" s="87"/>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ustomFormat="false" ht="14.25" hidden="false" customHeight="true" outlineLevel="0" collapsed="false">
      <c r="A681" s="45"/>
      <c r="B681" s="45"/>
      <c r="C681" s="87"/>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ustomFormat="false" ht="14.25" hidden="false" customHeight="true" outlineLevel="0" collapsed="false">
      <c r="A682" s="45"/>
      <c r="B682" s="45"/>
      <c r="C682" s="87"/>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ustomFormat="false" ht="14.25" hidden="false" customHeight="true" outlineLevel="0" collapsed="false">
      <c r="A683" s="45"/>
      <c r="B683" s="45"/>
      <c r="C683" s="87"/>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ustomFormat="false" ht="14.25" hidden="false" customHeight="true" outlineLevel="0" collapsed="false">
      <c r="A684" s="45"/>
      <c r="B684" s="45"/>
      <c r="C684" s="87"/>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ustomFormat="false" ht="14.25" hidden="false" customHeight="true" outlineLevel="0" collapsed="false">
      <c r="A685" s="45"/>
      <c r="B685" s="45"/>
      <c r="C685" s="87"/>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ustomFormat="false" ht="14.25" hidden="false" customHeight="true" outlineLevel="0" collapsed="false">
      <c r="A686" s="45"/>
      <c r="B686" s="45"/>
      <c r="C686" s="87"/>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ustomFormat="false" ht="14.25" hidden="false" customHeight="true" outlineLevel="0" collapsed="false">
      <c r="A687" s="45"/>
      <c r="B687" s="45"/>
      <c r="C687" s="87"/>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ustomFormat="false" ht="14.25" hidden="false" customHeight="true" outlineLevel="0" collapsed="false">
      <c r="A688" s="45"/>
      <c r="B688" s="45"/>
      <c r="C688" s="87"/>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ustomFormat="false" ht="14.25" hidden="false" customHeight="true" outlineLevel="0" collapsed="false">
      <c r="A689" s="45"/>
      <c r="B689" s="45"/>
      <c r="C689" s="87"/>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ustomFormat="false" ht="14.25" hidden="false" customHeight="true" outlineLevel="0" collapsed="false">
      <c r="A690" s="45"/>
      <c r="B690" s="45"/>
      <c r="C690" s="87"/>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ustomFormat="false" ht="14.25" hidden="false" customHeight="true" outlineLevel="0" collapsed="false">
      <c r="A691" s="45"/>
      <c r="B691" s="45"/>
      <c r="C691" s="87"/>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ustomFormat="false" ht="14.25" hidden="false" customHeight="true" outlineLevel="0" collapsed="false">
      <c r="A692" s="45"/>
      <c r="B692" s="45"/>
      <c r="C692" s="87"/>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ustomFormat="false" ht="14.25" hidden="false" customHeight="true" outlineLevel="0" collapsed="false">
      <c r="A693" s="45"/>
      <c r="B693" s="45"/>
      <c r="C693" s="87"/>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ustomFormat="false" ht="14.25" hidden="false" customHeight="true" outlineLevel="0" collapsed="false">
      <c r="A694" s="45"/>
      <c r="B694" s="45"/>
      <c r="C694" s="87"/>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ustomFormat="false" ht="14.25" hidden="false" customHeight="true" outlineLevel="0" collapsed="false">
      <c r="A695" s="45"/>
      <c r="B695" s="45"/>
      <c r="C695" s="87"/>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ustomFormat="false" ht="14.25" hidden="false" customHeight="true" outlineLevel="0" collapsed="false">
      <c r="A696" s="45"/>
      <c r="B696" s="45"/>
      <c r="C696" s="87"/>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ustomFormat="false" ht="14.25" hidden="false" customHeight="true" outlineLevel="0" collapsed="false">
      <c r="A697" s="45"/>
      <c r="B697" s="45"/>
      <c r="C697" s="87"/>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ustomFormat="false" ht="14.25" hidden="false" customHeight="true" outlineLevel="0" collapsed="false">
      <c r="A698" s="45"/>
      <c r="B698" s="45"/>
      <c r="C698" s="87"/>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ustomFormat="false" ht="14.25" hidden="false" customHeight="true" outlineLevel="0" collapsed="false">
      <c r="A699" s="45"/>
      <c r="B699" s="45"/>
      <c r="C699" s="87"/>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ustomFormat="false" ht="14.25" hidden="false" customHeight="true" outlineLevel="0" collapsed="false">
      <c r="A700" s="45"/>
      <c r="B700" s="45"/>
      <c r="C700" s="87"/>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ustomFormat="false" ht="14.25" hidden="false" customHeight="true" outlineLevel="0" collapsed="false">
      <c r="A701" s="45"/>
      <c r="B701" s="45"/>
      <c r="C701" s="87"/>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ustomFormat="false" ht="14.25" hidden="false" customHeight="true" outlineLevel="0" collapsed="false">
      <c r="A702" s="45"/>
      <c r="B702" s="45"/>
      <c r="C702" s="87"/>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ustomFormat="false" ht="14.25" hidden="false" customHeight="true" outlineLevel="0" collapsed="false">
      <c r="A703" s="45"/>
      <c r="B703" s="45"/>
      <c r="C703" s="87"/>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ustomFormat="false" ht="14.25" hidden="false" customHeight="true" outlineLevel="0" collapsed="false">
      <c r="A704" s="45"/>
      <c r="B704" s="45"/>
      <c r="C704" s="87"/>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ustomFormat="false" ht="14.25" hidden="false" customHeight="true" outlineLevel="0" collapsed="false">
      <c r="A705" s="45"/>
      <c r="B705" s="45"/>
      <c r="C705" s="87"/>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ustomFormat="false" ht="14.25" hidden="false" customHeight="true" outlineLevel="0" collapsed="false">
      <c r="A706" s="45"/>
      <c r="B706" s="45"/>
      <c r="C706" s="87"/>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ustomFormat="false" ht="14.25" hidden="false" customHeight="true" outlineLevel="0" collapsed="false">
      <c r="A707" s="45"/>
      <c r="B707" s="45"/>
      <c r="C707" s="87"/>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ustomFormat="false" ht="14.25" hidden="false" customHeight="true" outlineLevel="0" collapsed="false">
      <c r="A708" s="45"/>
      <c r="B708" s="45"/>
      <c r="C708" s="87"/>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ustomFormat="false" ht="14.25" hidden="false" customHeight="true" outlineLevel="0" collapsed="false">
      <c r="A709" s="45"/>
      <c r="B709" s="45"/>
      <c r="C709" s="87"/>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ustomFormat="false" ht="14.25" hidden="false" customHeight="true" outlineLevel="0" collapsed="false">
      <c r="A710" s="45"/>
      <c r="B710" s="45"/>
      <c r="C710" s="87"/>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ustomFormat="false" ht="14.25" hidden="false" customHeight="true" outlineLevel="0" collapsed="false">
      <c r="A711" s="45"/>
      <c r="B711" s="45"/>
      <c r="C711" s="87"/>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ustomFormat="false" ht="14.25" hidden="false" customHeight="true" outlineLevel="0" collapsed="false">
      <c r="A712" s="45"/>
      <c r="B712" s="45"/>
      <c r="C712" s="87"/>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ustomFormat="false" ht="14.25" hidden="false" customHeight="true" outlineLevel="0" collapsed="false">
      <c r="A713" s="45"/>
      <c r="B713" s="45"/>
      <c r="C713" s="87"/>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ustomFormat="false" ht="14.25" hidden="false" customHeight="true" outlineLevel="0" collapsed="false">
      <c r="A714" s="45"/>
      <c r="B714" s="45"/>
      <c r="C714" s="87"/>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ustomFormat="false" ht="14.25" hidden="false" customHeight="true" outlineLevel="0" collapsed="false">
      <c r="A715" s="45"/>
      <c r="B715" s="45"/>
      <c r="C715" s="87"/>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ustomFormat="false" ht="14.25" hidden="false" customHeight="true" outlineLevel="0" collapsed="false">
      <c r="A716" s="45"/>
      <c r="B716" s="45"/>
      <c r="C716" s="87"/>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ustomFormat="false" ht="14.25" hidden="false" customHeight="true" outlineLevel="0" collapsed="false">
      <c r="A717" s="45"/>
      <c r="B717" s="45"/>
      <c r="C717" s="87"/>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ustomFormat="false" ht="14.25" hidden="false" customHeight="true" outlineLevel="0" collapsed="false">
      <c r="A718" s="45"/>
      <c r="B718" s="45"/>
      <c r="C718" s="87"/>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ustomFormat="false" ht="14.25" hidden="false" customHeight="true" outlineLevel="0" collapsed="false">
      <c r="A719" s="45"/>
      <c r="B719" s="45"/>
      <c r="C719" s="87"/>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ustomFormat="false" ht="14.25" hidden="false" customHeight="true" outlineLevel="0" collapsed="false">
      <c r="A720" s="45"/>
      <c r="B720" s="45"/>
      <c r="C720" s="87"/>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ustomFormat="false" ht="14.25" hidden="false" customHeight="true" outlineLevel="0" collapsed="false">
      <c r="A721" s="45"/>
      <c r="B721" s="45"/>
      <c r="C721" s="87"/>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ustomFormat="false" ht="14.25" hidden="false" customHeight="true" outlineLevel="0" collapsed="false">
      <c r="A722" s="45"/>
      <c r="B722" s="45"/>
      <c r="C722" s="87"/>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ustomFormat="false" ht="14.25" hidden="false" customHeight="true" outlineLevel="0" collapsed="false">
      <c r="A723" s="45"/>
      <c r="B723" s="45"/>
      <c r="C723" s="87"/>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ustomFormat="false" ht="14.25" hidden="false" customHeight="true" outlineLevel="0" collapsed="false">
      <c r="A724" s="45"/>
      <c r="B724" s="45"/>
      <c r="C724" s="87"/>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ustomFormat="false" ht="14.25" hidden="false" customHeight="true" outlineLevel="0" collapsed="false">
      <c r="A725" s="45"/>
      <c r="B725" s="45"/>
      <c r="C725" s="87"/>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ustomFormat="false" ht="14.25" hidden="false" customHeight="true" outlineLevel="0" collapsed="false">
      <c r="A726" s="45"/>
      <c r="B726" s="45"/>
      <c r="C726" s="87"/>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ustomFormat="false" ht="14.25" hidden="false" customHeight="true" outlineLevel="0" collapsed="false">
      <c r="A727" s="45"/>
      <c r="B727" s="45"/>
      <c r="C727" s="87"/>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ustomFormat="false" ht="14.25" hidden="false" customHeight="true" outlineLevel="0" collapsed="false">
      <c r="A728" s="45"/>
      <c r="B728" s="45"/>
      <c r="C728" s="87"/>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ustomFormat="false" ht="14.25" hidden="false" customHeight="true" outlineLevel="0" collapsed="false">
      <c r="A729" s="45"/>
      <c r="B729" s="45"/>
      <c r="C729" s="87"/>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ustomFormat="false" ht="14.25" hidden="false" customHeight="true" outlineLevel="0" collapsed="false">
      <c r="A730" s="45"/>
      <c r="B730" s="45"/>
      <c r="C730" s="87"/>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ustomFormat="false" ht="14.25" hidden="false" customHeight="true" outlineLevel="0" collapsed="false">
      <c r="A731" s="45"/>
      <c r="B731" s="45"/>
      <c r="C731" s="87"/>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ustomFormat="false" ht="14.25" hidden="false" customHeight="true" outlineLevel="0" collapsed="false">
      <c r="A732" s="45"/>
      <c r="B732" s="45"/>
      <c r="C732" s="87"/>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ustomFormat="false" ht="14.25" hidden="false" customHeight="true" outlineLevel="0" collapsed="false">
      <c r="A733" s="45"/>
      <c r="B733" s="45"/>
      <c r="C733" s="87"/>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ustomFormat="false" ht="14.25" hidden="false" customHeight="true" outlineLevel="0" collapsed="false">
      <c r="A734" s="45"/>
      <c r="B734" s="45"/>
      <c r="C734" s="87"/>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ustomFormat="false" ht="14.25" hidden="false" customHeight="true" outlineLevel="0" collapsed="false">
      <c r="A735" s="45"/>
      <c r="B735" s="45"/>
      <c r="C735" s="87"/>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ustomFormat="false" ht="14.25" hidden="false" customHeight="true" outlineLevel="0" collapsed="false">
      <c r="A736" s="45"/>
      <c r="B736" s="45"/>
      <c r="C736" s="87"/>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ustomFormat="false" ht="14.25" hidden="false" customHeight="true" outlineLevel="0" collapsed="false">
      <c r="A737" s="45"/>
      <c r="B737" s="45"/>
      <c r="C737" s="87"/>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ustomFormat="false" ht="14.25" hidden="false" customHeight="true" outlineLevel="0" collapsed="false">
      <c r="A738" s="45"/>
      <c r="B738" s="45"/>
      <c r="C738" s="87"/>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ustomFormat="false" ht="14.25" hidden="false" customHeight="true" outlineLevel="0" collapsed="false">
      <c r="A739" s="45"/>
      <c r="B739" s="45"/>
      <c r="C739" s="87"/>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ustomFormat="false" ht="14.25" hidden="false" customHeight="true" outlineLevel="0" collapsed="false">
      <c r="A740" s="45"/>
      <c r="B740" s="45"/>
      <c r="C740" s="87"/>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ustomFormat="false" ht="14.25" hidden="false" customHeight="true" outlineLevel="0" collapsed="false">
      <c r="A741" s="45"/>
      <c r="B741" s="45"/>
      <c r="C741" s="87"/>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ustomFormat="false" ht="14.25" hidden="false" customHeight="true" outlineLevel="0" collapsed="false">
      <c r="A742" s="45"/>
      <c r="B742" s="45"/>
      <c r="C742" s="87"/>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ustomFormat="false" ht="14.25" hidden="false" customHeight="true" outlineLevel="0" collapsed="false">
      <c r="A743" s="45"/>
      <c r="B743" s="45"/>
      <c r="C743" s="87"/>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ustomFormat="false" ht="14.25" hidden="false" customHeight="true" outlineLevel="0" collapsed="false">
      <c r="A744" s="45"/>
      <c r="B744" s="45"/>
      <c r="C744" s="87"/>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ustomFormat="false" ht="14.25" hidden="false" customHeight="true" outlineLevel="0" collapsed="false">
      <c r="A745" s="45"/>
      <c r="B745" s="45"/>
      <c r="C745" s="87"/>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ustomFormat="false" ht="14.25" hidden="false" customHeight="true" outlineLevel="0" collapsed="false">
      <c r="A746" s="45"/>
      <c r="B746" s="45"/>
      <c r="C746" s="87"/>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ustomFormat="false" ht="14.25" hidden="false" customHeight="true" outlineLevel="0" collapsed="false">
      <c r="A747" s="45"/>
      <c r="B747" s="45"/>
      <c r="C747" s="87"/>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ustomFormat="false" ht="14.25" hidden="false" customHeight="true" outlineLevel="0" collapsed="false">
      <c r="A748" s="45"/>
      <c r="B748" s="45"/>
      <c r="C748" s="87"/>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ustomFormat="false" ht="14.25" hidden="false" customHeight="true" outlineLevel="0" collapsed="false">
      <c r="A749" s="45"/>
      <c r="B749" s="45"/>
      <c r="C749" s="87"/>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ustomFormat="false" ht="14.25" hidden="false" customHeight="true" outlineLevel="0" collapsed="false">
      <c r="A750" s="45"/>
      <c r="B750" s="45"/>
      <c r="C750" s="87"/>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ustomFormat="false" ht="14.25" hidden="false" customHeight="true" outlineLevel="0" collapsed="false">
      <c r="A751" s="45"/>
      <c r="B751" s="45"/>
      <c r="C751" s="87"/>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ustomFormat="false" ht="14.25" hidden="false" customHeight="true" outlineLevel="0" collapsed="false">
      <c r="A752" s="45"/>
      <c r="B752" s="45"/>
      <c r="C752" s="87"/>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ustomFormat="false" ht="14.25" hidden="false" customHeight="true" outlineLevel="0" collapsed="false">
      <c r="A753" s="45"/>
      <c r="B753" s="45"/>
      <c r="C753" s="87"/>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ustomFormat="false" ht="14.25" hidden="false" customHeight="true" outlineLevel="0" collapsed="false">
      <c r="A754" s="45"/>
      <c r="B754" s="45"/>
      <c r="C754" s="87"/>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ustomFormat="false" ht="14.25" hidden="false" customHeight="true" outlineLevel="0" collapsed="false">
      <c r="A755" s="45"/>
      <c r="B755" s="45"/>
      <c r="C755" s="87"/>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ustomFormat="false" ht="14.25" hidden="false" customHeight="true" outlineLevel="0" collapsed="false">
      <c r="A756" s="45"/>
      <c r="B756" s="45"/>
      <c r="C756" s="87"/>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ustomFormat="false" ht="14.25" hidden="false" customHeight="true" outlineLevel="0" collapsed="false">
      <c r="A757" s="45"/>
      <c r="B757" s="45"/>
      <c r="C757" s="87"/>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ustomFormat="false" ht="14.25" hidden="false" customHeight="true" outlineLevel="0" collapsed="false">
      <c r="A758" s="45"/>
      <c r="B758" s="45"/>
      <c r="C758" s="87"/>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ustomFormat="false" ht="14.25" hidden="false" customHeight="true" outlineLevel="0" collapsed="false">
      <c r="A759" s="45"/>
      <c r="B759" s="45"/>
      <c r="C759" s="87"/>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ustomFormat="false" ht="14.25" hidden="false" customHeight="true" outlineLevel="0" collapsed="false">
      <c r="A760" s="45"/>
      <c r="B760" s="45"/>
      <c r="C760" s="87"/>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ustomFormat="false" ht="14.25" hidden="false" customHeight="true" outlineLevel="0" collapsed="false">
      <c r="A761" s="45"/>
      <c r="B761" s="45"/>
      <c r="C761" s="87"/>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ustomFormat="false" ht="14.25" hidden="false" customHeight="true" outlineLevel="0" collapsed="false">
      <c r="A762" s="45"/>
      <c r="B762" s="45"/>
      <c r="C762" s="87"/>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ustomFormat="false" ht="14.25" hidden="false" customHeight="true" outlineLevel="0" collapsed="false">
      <c r="A763" s="45"/>
      <c r="B763" s="45"/>
      <c r="C763" s="87"/>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ustomFormat="false" ht="14.25" hidden="false" customHeight="true" outlineLevel="0" collapsed="false">
      <c r="A764" s="45"/>
      <c r="B764" s="45"/>
      <c r="C764" s="87"/>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ustomFormat="false" ht="14.25" hidden="false" customHeight="true" outlineLevel="0" collapsed="false">
      <c r="A765" s="45"/>
      <c r="B765" s="45"/>
      <c r="C765" s="87"/>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ustomFormat="false" ht="14.25" hidden="false" customHeight="true" outlineLevel="0" collapsed="false">
      <c r="A766" s="45"/>
      <c r="B766" s="45"/>
      <c r="C766" s="87"/>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ustomFormat="false" ht="14.25" hidden="false" customHeight="true" outlineLevel="0" collapsed="false">
      <c r="A767" s="45"/>
      <c r="B767" s="45"/>
      <c r="C767" s="87"/>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ustomFormat="false" ht="14.25" hidden="false" customHeight="true" outlineLevel="0" collapsed="false">
      <c r="A768" s="45"/>
      <c r="B768" s="45"/>
      <c r="C768" s="87"/>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ustomFormat="false" ht="14.25" hidden="false" customHeight="true" outlineLevel="0" collapsed="false">
      <c r="A769" s="45"/>
      <c r="B769" s="45"/>
      <c r="C769" s="87"/>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ustomFormat="false" ht="14.25" hidden="false" customHeight="true" outlineLevel="0" collapsed="false">
      <c r="A770" s="45"/>
      <c r="B770" s="45"/>
      <c r="C770" s="87"/>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ustomFormat="false" ht="14.25" hidden="false" customHeight="true" outlineLevel="0" collapsed="false">
      <c r="A771" s="45"/>
      <c r="B771" s="45"/>
      <c r="C771" s="87"/>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ustomFormat="false" ht="14.25" hidden="false" customHeight="true" outlineLevel="0" collapsed="false">
      <c r="A772" s="45"/>
      <c r="B772" s="45"/>
      <c r="C772" s="87"/>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ustomFormat="false" ht="14.25" hidden="false" customHeight="true" outlineLevel="0" collapsed="false">
      <c r="A773" s="45"/>
      <c r="B773" s="45"/>
      <c r="C773" s="87"/>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ustomFormat="false" ht="14.25" hidden="false" customHeight="true" outlineLevel="0" collapsed="false">
      <c r="A774" s="45"/>
      <c r="B774" s="45"/>
      <c r="C774" s="87"/>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ustomFormat="false" ht="14.25" hidden="false" customHeight="true" outlineLevel="0" collapsed="false">
      <c r="A775" s="45"/>
      <c r="B775" s="45"/>
      <c r="C775" s="87"/>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ustomFormat="false" ht="14.25" hidden="false" customHeight="true" outlineLevel="0" collapsed="false">
      <c r="A776" s="45"/>
      <c r="B776" s="45"/>
      <c r="C776" s="87"/>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ustomFormat="false" ht="14.25" hidden="false" customHeight="true" outlineLevel="0" collapsed="false">
      <c r="A777" s="45"/>
      <c r="B777" s="45"/>
      <c r="C777" s="87"/>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ustomFormat="false" ht="14.25" hidden="false" customHeight="true" outlineLevel="0" collapsed="false">
      <c r="A778" s="45"/>
      <c r="B778" s="45"/>
      <c r="C778" s="87"/>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ustomFormat="false" ht="14.25" hidden="false" customHeight="true" outlineLevel="0" collapsed="false">
      <c r="A779" s="45"/>
      <c r="B779" s="45"/>
      <c r="C779" s="87"/>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ustomFormat="false" ht="14.25" hidden="false" customHeight="true" outlineLevel="0" collapsed="false">
      <c r="A780" s="45"/>
      <c r="B780" s="45"/>
      <c r="C780" s="87"/>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ustomFormat="false" ht="14.25" hidden="false" customHeight="true" outlineLevel="0" collapsed="false">
      <c r="A781" s="45"/>
      <c r="B781" s="45"/>
      <c r="C781" s="87"/>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ustomFormat="false" ht="14.25" hidden="false" customHeight="true" outlineLevel="0" collapsed="false">
      <c r="A782" s="45"/>
      <c r="B782" s="45"/>
      <c r="C782" s="87"/>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ustomFormat="false" ht="14.25" hidden="false" customHeight="true" outlineLevel="0" collapsed="false">
      <c r="A783" s="45"/>
      <c r="B783" s="45"/>
      <c r="C783" s="87"/>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ustomFormat="false" ht="14.25" hidden="false" customHeight="true" outlineLevel="0" collapsed="false">
      <c r="A784" s="45"/>
      <c r="B784" s="45"/>
      <c r="C784" s="87"/>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ustomFormat="false" ht="14.25" hidden="false" customHeight="true" outlineLevel="0" collapsed="false">
      <c r="A785" s="45"/>
      <c r="B785" s="45"/>
      <c r="C785" s="87"/>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ustomFormat="false" ht="14.25" hidden="false" customHeight="true" outlineLevel="0" collapsed="false">
      <c r="A786" s="45"/>
      <c r="B786" s="45"/>
      <c r="C786" s="87"/>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ustomFormat="false" ht="14.25" hidden="false" customHeight="true" outlineLevel="0" collapsed="false">
      <c r="A787" s="45"/>
      <c r="B787" s="45"/>
      <c r="C787" s="87"/>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ustomFormat="false" ht="14.25" hidden="false" customHeight="true" outlineLevel="0" collapsed="false">
      <c r="A788" s="45"/>
      <c r="B788" s="45"/>
      <c r="C788" s="87"/>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ustomFormat="false" ht="14.25" hidden="false" customHeight="true" outlineLevel="0" collapsed="false">
      <c r="A789" s="45"/>
      <c r="B789" s="45"/>
      <c r="C789" s="87"/>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ustomFormat="false" ht="14.25" hidden="false" customHeight="true" outlineLevel="0" collapsed="false">
      <c r="A790" s="45"/>
      <c r="B790" s="45"/>
      <c r="C790" s="87"/>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ustomFormat="false" ht="14.25" hidden="false" customHeight="true" outlineLevel="0" collapsed="false">
      <c r="A791" s="45"/>
      <c r="B791" s="45"/>
      <c r="C791" s="87"/>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ustomFormat="false" ht="14.25" hidden="false" customHeight="true" outlineLevel="0" collapsed="false">
      <c r="A792" s="45"/>
      <c r="B792" s="45"/>
      <c r="C792" s="87"/>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ustomFormat="false" ht="14.25" hidden="false" customHeight="true" outlineLevel="0" collapsed="false">
      <c r="A793" s="45"/>
      <c r="B793" s="45"/>
      <c r="C793" s="87"/>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ustomFormat="false" ht="14.25" hidden="false" customHeight="true" outlineLevel="0" collapsed="false">
      <c r="A794" s="45"/>
      <c r="B794" s="45"/>
      <c r="C794" s="87"/>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ustomFormat="false" ht="14.25" hidden="false" customHeight="true" outlineLevel="0" collapsed="false">
      <c r="A795" s="45"/>
      <c r="B795" s="45"/>
      <c r="C795" s="87"/>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ustomFormat="false" ht="14.25" hidden="false" customHeight="true" outlineLevel="0" collapsed="false">
      <c r="A796" s="45"/>
      <c r="B796" s="45"/>
      <c r="C796" s="87"/>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ustomFormat="false" ht="14.25" hidden="false" customHeight="true" outlineLevel="0" collapsed="false">
      <c r="A797" s="45"/>
      <c r="B797" s="45"/>
      <c r="C797" s="87"/>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ustomFormat="false" ht="14.25" hidden="false" customHeight="true" outlineLevel="0" collapsed="false">
      <c r="A798" s="45"/>
      <c r="B798" s="45"/>
      <c r="C798" s="87"/>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ustomFormat="false" ht="14.25" hidden="false" customHeight="true" outlineLevel="0" collapsed="false">
      <c r="A799" s="45"/>
      <c r="B799" s="45"/>
      <c r="C799" s="87"/>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ustomFormat="false" ht="14.25" hidden="false" customHeight="true" outlineLevel="0" collapsed="false">
      <c r="A800" s="45"/>
      <c r="B800" s="45"/>
      <c r="C800" s="87"/>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ustomFormat="false" ht="14.25" hidden="false" customHeight="true" outlineLevel="0" collapsed="false">
      <c r="A801" s="45"/>
      <c r="B801" s="45"/>
      <c r="C801" s="87"/>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ustomFormat="false" ht="14.25" hidden="false" customHeight="true" outlineLevel="0" collapsed="false">
      <c r="A802" s="45"/>
      <c r="B802" s="45"/>
      <c r="C802" s="87"/>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ustomFormat="false" ht="14.25" hidden="false" customHeight="true" outlineLevel="0" collapsed="false">
      <c r="A803" s="45"/>
      <c r="B803" s="45"/>
      <c r="C803" s="87"/>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ustomFormat="false" ht="14.25" hidden="false" customHeight="true" outlineLevel="0" collapsed="false">
      <c r="A804" s="45"/>
      <c r="B804" s="45"/>
      <c r="C804" s="87"/>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ustomFormat="false" ht="14.25" hidden="false" customHeight="true" outlineLevel="0" collapsed="false">
      <c r="A805" s="45"/>
      <c r="B805" s="45"/>
      <c r="C805" s="87"/>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ustomFormat="false" ht="14.25" hidden="false" customHeight="true" outlineLevel="0" collapsed="false">
      <c r="A806" s="45"/>
      <c r="B806" s="45"/>
      <c r="C806" s="87"/>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ustomFormat="false" ht="14.25" hidden="false" customHeight="true" outlineLevel="0" collapsed="false">
      <c r="A807" s="45"/>
      <c r="B807" s="45"/>
      <c r="C807" s="87"/>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ustomFormat="false" ht="14.25" hidden="false" customHeight="true" outlineLevel="0" collapsed="false">
      <c r="A808" s="45"/>
      <c r="B808" s="45"/>
      <c r="C808" s="87"/>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ustomFormat="false" ht="14.25" hidden="false" customHeight="true" outlineLevel="0" collapsed="false">
      <c r="A809" s="45"/>
      <c r="B809" s="45"/>
      <c r="C809" s="87"/>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ustomFormat="false" ht="14.25" hidden="false" customHeight="true" outlineLevel="0" collapsed="false">
      <c r="A810" s="45"/>
      <c r="B810" s="45"/>
      <c r="C810" s="87"/>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ustomFormat="false" ht="14.25" hidden="false" customHeight="true" outlineLevel="0" collapsed="false">
      <c r="A811" s="45"/>
      <c r="B811" s="45"/>
      <c r="C811" s="87"/>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ustomFormat="false" ht="14.25" hidden="false" customHeight="true" outlineLevel="0" collapsed="false">
      <c r="A812" s="45"/>
      <c r="B812" s="45"/>
      <c r="C812" s="87"/>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ustomFormat="false" ht="14.25" hidden="false" customHeight="true" outlineLevel="0" collapsed="false">
      <c r="A813" s="45"/>
      <c r="B813" s="45"/>
      <c r="C813" s="87"/>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ustomFormat="false" ht="14.25" hidden="false" customHeight="true" outlineLevel="0" collapsed="false">
      <c r="A814" s="45"/>
      <c r="B814" s="45"/>
      <c r="C814" s="87"/>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ustomFormat="false" ht="14.25" hidden="false" customHeight="true" outlineLevel="0" collapsed="false">
      <c r="A815" s="45"/>
      <c r="B815" s="45"/>
      <c r="C815" s="87"/>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ustomFormat="false" ht="14.25" hidden="false" customHeight="true" outlineLevel="0" collapsed="false">
      <c r="A816" s="45"/>
      <c r="B816" s="45"/>
      <c r="C816" s="87"/>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ustomFormat="false" ht="14.25" hidden="false" customHeight="true" outlineLevel="0" collapsed="false">
      <c r="A817" s="45"/>
      <c r="B817" s="45"/>
      <c r="C817" s="87"/>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ustomFormat="false" ht="14.25" hidden="false" customHeight="true" outlineLevel="0" collapsed="false">
      <c r="A818" s="45"/>
      <c r="B818" s="45"/>
      <c r="C818" s="87"/>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ustomFormat="false" ht="14.25" hidden="false" customHeight="true" outlineLevel="0" collapsed="false">
      <c r="A819" s="45"/>
      <c r="B819" s="45"/>
      <c r="C819" s="87"/>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ustomFormat="false" ht="14.25" hidden="false" customHeight="true" outlineLevel="0" collapsed="false">
      <c r="A820" s="45"/>
      <c r="B820" s="45"/>
      <c r="C820" s="87"/>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ustomFormat="false" ht="14.25" hidden="false" customHeight="true" outlineLevel="0" collapsed="false">
      <c r="A821" s="45"/>
      <c r="B821" s="45"/>
      <c r="C821" s="87"/>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ustomFormat="false" ht="14.25" hidden="false" customHeight="true" outlineLevel="0" collapsed="false">
      <c r="A822" s="45"/>
      <c r="B822" s="45"/>
      <c r="C822" s="87"/>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ustomFormat="false" ht="14.25" hidden="false" customHeight="true" outlineLevel="0" collapsed="false">
      <c r="A823" s="45"/>
      <c r="B823" s="45"/>
      <c r="C823" s="87"/>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ustomFormat="false" ht="14.25" hidden="false" customHeight="true" outlineLevel="0" collapsed="false">
      <c r="A824" s="45"/>
      <c r="B824" s="45"/>
      <c r="C824" s="87"/>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ustomFormat="false" ht="14.25" hidden="false" customHeight="true" outlineLevel="0" collapsed="false">
      <c r="A825" s="45"/>
      <c r="B825" s="45"/>
      <c r="C825" s="87"/>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ustomFormat="false" ht="14.25" hidden="false" customHeight="true" outlineLevel="0" collapsed="false">
      <c r="A826" s="45"/>
      <c r="B826" s="45"/>
      <c r="C826" s="87"/>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ustomFormat="false" ht="14.25" hidden="false" customHeight="true" outlineLevel="0" collapsed="false">
      <c r="A827" s="45"/>
      <c r="B827" s="45"/>
      <c r="C827" s="87"/>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ustomFormat="false" ht="14.25" hidden="false" customHeight="true" outlineLevel="0" collapsed="false">
      <c r="A828" s="45"/>
      <c r="B828" s="45"/>
      <c r="C828" s="87"/>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ustomFormat="false" ht="14.25" hidden="false" customHeight="true" outlineLevel="0" collapsed="false">
      <c r="A829" s="45"/>
      <c r="B829" s="45"/>
      <c r="C829" s="87"/>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ustomFormat="false" ht="14.25" hidden="false" customHeight="true" outlineLevel="0" collapsed="false">
      <c r="A830" s="45"/>
      <c r="B830" s="45"/>
      <c r="C830" s="87"/>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ustomFormat="false" ht="14.25" hidden="false" customHeight="true" outlineLevel="0" collapsed="false">
      <c r="A831" s="45"/>
      <c r="B831" s="45"/>
      <c r="C831" s="87"/>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ustomFormat="false" ht="14.25" hidden="false" customHeight="true" outlineLevel="0" collapsed="false">
      <c r="A832" s="45"/>
      <c r="B832" s="45"/>
      <c r="C832" s="87"/>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ustomFormat="false" ht="14.25" hidden="false" customHeight="true" outlineLevel="0" collapsed="false">
      <c r="A833" s="45"/>
      <c r="B833" s="45"/>
      <c r="C833" s="87"/>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ustomFormat="false" ht="14.25" hidden="false" customHeight="true" outlineLevel="0" collapsed="false">
      <c r="A834" s="45"/>
      <c r="B834" s="45"/>
      <c r="C834" s="87"/>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ustomFormat="false" ht="14.25" hidden="false" customHeight="true" outlineLevel="0" collapsed="false">
      <c r="A835" s="45"/>
      <c r="B835" s="45"/>
      <c r="C835" s="87"/>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ustomFormat="false" ht="14.25" hidden="false" customHeight="true" outlineLevel="0" collapsed="false">
      <c r="A836" s="45"/>
      <c r="B836" s="45"/>
      <c r="C836" s="87"/>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ustomFormat="false" ht="14.25" hidden="false" customHeight="true" outlineLevel="0" collapsed="false">
      <c r="A837" s="45"/>
      <c r="B837" s="45"/>
      <c r="C837" s="87"/>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ustomFormat="false" ht="14.25" hidden="false" customHeight="true" outlineLevel="0" collapsed="false">
      <c r="A838" s="45"/>
      <c r="B838" s="45"/>
      <c r="C838" s="87"/>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ustomFormat="false" ht="14.25" hidden="false" customHeight="true" outlineLevel="0" collapsed="false">
      <c r="A839" s="45"/>
      <c r="B839" s="45"/>
      <c r="C839" s="87"/>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ustomFormat="false" ht="14.25" hidden="false" customHeight="true" outlineLevel="0" collapsed="false">
      <c r="A840" s="45"/>
      <c r="B840" s="45"/>
      <c r="C840" s="87"/>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ustomFormat="false" ht="14.25" hidden="false" customHeight="true" outlineLevel="0" collapsed="false">
      <c r="A841" s="45"/>
      <c r="B841" s="45"/>
      <c r="C841" s="87"/>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ustomFormat="false" ht="14.25" hidden="false" customHeight="true" outlineLevel="0" collapsed="false">
      <c r="A842" s="45"/>
      <c r="B842" s="45"/>
      <c r="C842" s="87"/>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ustomFormat="false" ht="14.25" hidden="false" customHeight="true" outlineLevel="0" collapsed="false">
      <c r="A843" s="45"/>
      <c r="B843" s="45"/>
      <c r="C843" s="87"/>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ustomFormat="false" ht="14.25" hidden="false" customHeight="true" outlineLevel="0" collapsed="false">
      <c r="A844" s="45"/>
      <c r="B844" s="45"/>
      <c r="C844" s="87"/>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ustomFormat="false" ht="14.25" hidden="false" customHeight="true" outlineLevel="0" collapsed="false">
      <c r="A845" s="45"/>
      <c r="B845" s="45"/>
      <c r="C845" s="87"/>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ustomFormat="false" ht="14.25" hidden="false" customHeight="true" outlineLevel="0" collapsed="false">
      <c r="A846" s="45"/>
      <c r="B846" s="45"/>
      <c r="C846" s="87"/>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ustomFormat="false" ht="14.25" hidden="false" customHeight="true" outlineLevel="0" collapsed="false">
      <c r="A847" s="45"/>
      <c r="B847" s="45"/>
      <c r="C847" s="87"/>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ustomFormat="false" ht="14.25" hidden="false" customHeight="true" outlineLevel="0" collapsed="false">
      <c r="A848" s="45"/>
      <c r="B848" s="45"/>
      <c r="C848" s="87"/>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ustomFormat="false" ht="14.25" hidden="false" customHeight="true" outlineLevel="0" collapsed="false">
      <c r="A849" s="45"/>
      <c r="B849" s="45"/>
      <c r="C849" s="87"/>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ustomFormat="false" ht="14.25" hidden="false" customHeight="true" outlineLevel="0" collapsed="false">
      <c r="A850" s="45"/>
      <c r="B850" s="45"/>
      <c r="C850" s="87"/>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ustomFormat="false" ht="14.25" hidden="false" customHeight="true" outlineLevel="0" collapsed="false">
      <c r="A851" s="45"/>
      <c r="B851" s="45"/>
      <c r="C851" s="87"/>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ustomFormat="false" ht="14.25" hidden="false" customHeight="true" outlineLevel="0" collapsed="false">
      <c r="A852" s="45"/>
      <c r="B852" s="45"/>
      <c r="C852" s="87"/>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ustomFormat="false" ht="14.25" hidden="false" customHeight="true" outlineLevel="0" collapsed="false">
      <c r="A853" s="45"/>
      <c r="B853" s="45"/>
      <c r="C853" s="87"/>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ustomFormat="false" ht="14.25" hidden="false" customHeight="true" outlineLevel="0" collapsed="false">
      <c r="A854" s="45"/>
      <c r="B854" s="45"/>
      <c r="C854" s="87"/>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ustomFormat="false" ht="14.25" hidden="false" customHeight="true" outlineLevel="0" collapsed="false">
      <c r="A855" s="45"/>
      <c r="B855" s="45"/>
      <c r="C855" s="87"/>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ustomFormat="false" ht="14.25" hidden="false" customHeight="true" outlineLevel="0" collapsed="false">
      <c r="A856" s="45"/>
      <c r="B856" s="45"/>
      <c r="C856" s="87"/>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ustomFormat="false" ht="14.25" hidden="false" customHeight="true" outlineLevel="0" collapsed="false">
      <c r="A857" s="45"/>
      <c r="B857" s="45"/>
      <c r="C857" s="87"/>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ustomFormat="false" ht="14.25" hidden="false" customHeight="true" outlineLevel="0" collapsed="false">
      <c r="A858" s="45"/>
      <c r="B858" s="45"/>
      <c r="C858" s="87"/>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ustomFormat="false" ht="14.25" hidden="false" customHeight="true" outlineLevel="0" collapsed="false">
      <c r="A859" s="45"/>
      <c r="B859" s="45"/>
      <c r="C859" s="87"/>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ustomFormat="false" ht="14.25" hidden="false" customHeight="true" outlineLevel="0" collapsed="false">
      <c r="A860" s="45"/>
      <c r="B860" s="45"/>
      <c r="C860" s="87"/>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ustomFormat="false" ht="14.25" hidden="false" customHeight="true" outlineLevel="0" collapsed="false">
      <c r="A861" s="45"/>
      <c r="B861" s="45"/>
      <c r="C861" s="87"/>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ustomFormat="false" ht="14.25" hidden="false" customHeight="true" outlineLevel="0" collapsed="false">
      <c r="A862" s="45"/>
      <c r="B862" s="45"/>
      <c r="C862" s="87"/>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ustomFormat="false" ht="14.25" hidden="false" customHeight="true" outlineLevel="0" collapsed="false">
      <c r="A863" s="45"/>
      <c r="B863" s="45"/>
      <c r="C863" s="87"/>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ustomFormat="false" ht="14.25" hidden="false" customHeight="true" outlineLevel="0" collapsed="false">
      <c r="A864" s="45"/>
      <c r="B864" s="45"/>
      <c r="C864" s="87"/>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ustomFormat="false" ht="14.25" hidden="false" customHeight="true" outlineLevel="0" collapsed="false">
      <c r="A865" s="45"/>
      <c r="B865" s="45"/>
      <c r="C865" s="87"/>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ustomFormat="false" ht="14.25" hidden="false" customHeight="true" outlineLevel="0" collapsed="false">
      <c r="A866" s="45"/>
      <c r="B866" s="45"/>
      <c r="C866" s="87"/>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ustomFormat="false" ht="14.25" hidden="false" customHeight="true" outlineLevel="0" collapsed="false">
      <c r="A867" s="45"/>
      <c r="B867" s="45"/>
      <c r="C867" s="87"/>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ustomFormat="false" ht="14.25" hidden="false" customHeight="true" outlineLevel="0" collapsed="false">
      <c r="A868" s="45"/>
      <c r="B868" s="45"/>
      <c r="C868" s="87"/>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ustomFormat="false" ht="14.25" hidden="false" customHeight="true" outlineLevel="0" collapsed="false">
      <c r="A869" s="45"/>
      <c r="B869" s="45"/>
      <c r="C869" s="87"/>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ustomFormat="false" ht="14.25" hidden="false" customHeight="true" outlineLevel="0" collapsed="false">
      <c r="A870" s="45"/>
      <c r="B870" s="45"/>
      <c r="C870" s="87"/>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ustomFormat="false" ht="14.25" hidden="false" customHeight="true" outlineLevel="0" collapsed="false">
      <c r="A871" s="45"/>
      <c r="B871" s="45"/>
      <c r="C871" s="87"/>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ustomFormat="false" ht="14.25" hidden="false" customHeight="true" outlineLevel="0" collapsed="false">
      <c r="A872" s="45"/>
      <c r="B872" s="45"/>
      <c r="C872" s="87"/>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ustomFormat="false" ht="14.25" hidden="false" customHeight="true" outlineLevel="0" collapsed="false">
      <c r="A873" s="45"/>
      <c r="B873" s="45"/>
      <c r="C873" s="87"/>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ustomFormat="false" ht="14.25" hidden="false" customHeight="true" outlineLevel="0" collapsed="false">
      <c r="A874" s="45"/>
      <c r="B874" s="45"/>
      <c r="C874" s="87"/>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ustomFormat="false" ht="14.25" hidden="false" customHeight="true" outlineLevel="0" collapsed="false">
      <c r="A875" s="45"/>
      <c r="B875" s="45"/>
      <c r="C875" s="87"/>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ustomFormat="false" ht="14.25" hidden="false" customHeight="true" outlineLevel="0" collapsed="false">
      <c r="A876" s="45"/>
      <c r="B876" s="45"/>
      <c r="C876" s="87"/>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ustomFormat="false" ht="14.25" hidden="false" customHeight="true" outlineLevel="0" collapsed="false">
      <c r="A877" s="45"/>
      <c r="B877" s="45"/>
      <c r="C877" s="87"/>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ustomFormat="false" ht="14.25" hidden="false" customHeight="true" outlineLevel="0" collapsed="false">
      <c r="A878" s="45"/>
      <c r="B878" s="45"/>
      <c r="C878" s="87"/>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ustomFormat="false" ht="14.25" hidden="false" customHeight="true" outlineLevel="0" collapsed="false">
      <c r="A879" s="45"/>
      <c r="B879" s="45"/>
      <c r="C879" s="87"/>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ustomFormat="false" ht="14.25" hidden="false" customHeight="true" outlineLevel="0" collapsed="false">
      <c r="A880" s="45"/>
      <c r="B880" s="45"/>
      <c r="C880" s="87"/>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ustomFormat="false" ht="14.25" hidden="false" customHeight="true" outlineLevel="0" collapsed="false">
      <c r="A881" s="45"/>
      <c r="B881" s="45"/>
      <c r="C881" s="87"/>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ustomFormat="false" ht="14.25" hidden="false" customHeight="true" outlineLevel="0" collapsed="false">
      <c r="A882" s="45"/>
      <c r="B882" s="45"/>
      <c r="C882" s="87"/>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ustomFormat="false" ht="14.25" hidden="false" customHeight="true" outlineLevel="0" collapsed="false">
      <c r="A883" s="45"/>
      <c r="B883" s="45"/>
      <c r="C883" s="87"/>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ustomFormat="false" ht="14.25" hidden="false" customHeight="true" outlineLevel="0" collapsed="false">
      <c r="A884" s="45"/>
      <c r="B884" s="45"/>
      <c r="C884" s="87"/>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ustomFormat="false" ht="14.25" hidden="false" customHeight="true" outlineLevel="0" collapsed="false">
      <c r="A885" s="45"/>
      <c r="B885" s="45"/>
      <c r="C885" s="87"/>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ustomFormat="false" ht="14.25" hidden="false" customHeight="true" outlineLevel="0" collapsed="false">
      <c r="A886" s="45"/>
      <c r="B886" s="45"/>
      <c r="C886" s="87"/>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ustomFormat="false" ht="14.25" hidden="false" customHeight="true" outlineLevel="0" collapsed="false">
      <c r="A887" s="45"/>
      <c r="B887" s="45"/>
      <c r="C887" s="87"/>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ustomFormat="false" ht="14.25" hidden="false" customHeight="true" outlineLevel="0" collapsed="false">
      <c r="A888" s="45"/>
      <c r="B888" s="45"/>
      <c r="C888" s="87"/>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ustomFormat="false" ht="14.25" hidden="false" customHeight="true" outlineLevel="0" collapsed="false">
      <c r="A889" s="45"/>
      <c r="B889" s="45"/>
      <c r="C889" s="87"/>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ustomFormat="false" ht="14.25" hidden="false" customHeight="true" outlineLevel="0" collapsed="false">
      <c r="A890" s="45"/>
      <c r="B890" s="45"/>
      <c r="C890" s="87"/>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ustomFormat="false" ht="14.25" hidden="false" customHeight="true" outlineLevel="0" collapsed="false">
      <c r="A891" s="45"/>
      <c r="B891" s="45"/>
      <c r="C891" s="87"/>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ustomFormat="false" ht="14.25" hidden="false" customHeight="true" outlineLevel="0" collapsed="false">
      <c r="A892" s="45"/>
      <c r="B892" s="45"/>
      <c r="C892" s="87"/>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ustomFormat="false" ht="14.25" hidden="false" customHeight="true" outlineLevel="0" collapsed="false">
      <c r="A893" s="45"/>
      <c r="B893" s="45"/>
      <c r="C893" s="87"/>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ustomFormat="false" ht="14.25" hidden="false" customHeight="true" outlineLevel="0" collapsed="false">
      <c r="A894" s="45"/>
      <c r="B894" s="45"/>
      <c r="C894" s="87"/>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ustomFormat="false" ht="14.25" hidden="false" customHeight="true" outlineLevel="0" collapsed="false">
      <c r="A895" s="45"/>
      <c r="B895" s="45"/>
      <c r="C895" s="87"/>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ustomFormat="false" ht="14.25" hidden="false" customHeight="true" outlineLevel="0" collapsed="false">
      <c r="A896" s="45"/>
      <c r="B896" s="45"/>
      <c r="C896" s="87"/>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ustomFormat="false" ht="14.25" hidden="false" customHeight="true" outlineLevel="0" collapsed="false">
      <c r="A897" s="45"/>
      <c r="B897" s="45"/>
      <c r="C897" s="87"/>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ustomFormat="false" ht="14.25" hidden="false" customHeight="true" outlineLevel="0" collapsed="false">
      <c r="A898" s="45"/>
      <c r="B898" s="45"/>
      <c r="C898" s="87"/>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ustomFormat="false" ht="14.25" hidden="false" customHeight="true" outlineLevel="0" collapsed="false">
      <c r="A899" s="45"/>
      <c r="B899" s="45"/>
      <c r="C899" s="87"/>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ustomFormat="false" ht="14.25" hidden="false" customHeight="true" outlineLevel="0" collapsed="false">
      <c r="A900" s="45"/>
      <c r="B900" s="45"/>
      <c r="C900" s="87"/>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ustomFormat="false" ht="14.25" hidden="false" customHeight="true" outlineLevel="0" collapsed="false">
      <c r="A901" s="45"/>
      <c r="B901" s="45"/>
      <c r="C901" s="87"/>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ustomFormat="false" ht="14.25" hidden="false" customHeight="true" outlineLevel="0" collapsed="false">
      <c r="A902" s="45"/>
      <c r="B902" s="45"/>
      <c r="C902" s="87"/>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ustomFormat="false" ht="14.25" hidden="false" customHeight="true" outlineLevel="0" collapsed="false">
      <c r="A903" s="45"/>
      <c r="B903" s="45"/>
      <c r="C903" s="87"/>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ustomFormat="false" ht="14.25" hidden="false" customHeight="true" outlineLevel="0" collapsed="false">
      <c r="A904" s="45"/>
      <c r="B904" s="45"/>
      <c r="C904" s="87"/>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ustomFormat="false" ht="14.25" hidden="false" customHeight="true" outlineLevel="0" collapsed="false">
      <c r="A905" s="45"/>
      <c r="B905" s="45"/>
      <c r="C905" s="87"/>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ustomFormat="false" ht="14.25" hidden="false" customHeight="true" outlineLevel="0" collapsed="false">
      <c r="A906" s="45"/>
      <c r="B906" s="45"/>
      <c r="C906" s="87"/>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ustomFormat="false" ht="14.25" hidden="false" customHeight="true" outlineLevel="0" collapsed="false">
      <c r="A907" s="45"/>
      <c r="B907" s="45"/>
      <c r="C907" s="87"/>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ustomFormat="false" ht="14.25" hidden="false" customHeight="true" outlineLevel="0" collapsed="false">
      <c r="A908" s="45"/>
      <c r="B908" s="45"/>
      <c r="C908" s="87"/>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ustomFormat="false" ht="14.25" hidden="false" customHeight="true" outlineLevel="0" collapsed="false">
      <c r="A909" s="45"/>
      <c r="B909" s="45"/>
      <c r="C909" s="87"/>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ustomFormat="false" ht="14.25" hidden="false" customHeight="true" outlineLevel="0" collapsed="false">
      <c r="A910" s="45"/>
      <c r="B910" s="45"/>
      <c r="C910" s="87"/>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ustomFormat="false" ht="14.25" hidden="false" customHeight="true" outlineLevel="0" collapsed="false">
      <c r="A911" s="45"/>
      <c r="B911" s="45"/>
      <c r="C911" s="87"/>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ustomFormat="false" ht="14.25" hidden="false" customHeight="true" outlineLevel="0" collapsed="false">
      <c r="A912" s="45"/>
      <c r="B912" s="45"/>
      <c r="C912" s="87"/>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ustomFormat="false" ht="14.25" hidden="false" customHeight="true" outlineLevel="0" collapsed="false">
      <c r="A913" s="45"/>
      <c r="B913" s="45"/>
      <c r="C913" s="87"/>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ustomFormat="false" ht="14.25" hidden="false" customHeight="true" outlineLevel="0" collapsed="false">
      <c r="A914" s="45"/>
      <c r="B914" s="45"/>
      <c r="C914" s="87"/>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ustomFormat="false" ht="14.25" hidden="false" customHeight="true" outlineLevel="0" collapsed="false">
      <c r="A915" s="45"/>
      <c r="B915" s="45"/>
      <c r="C915" s="87"/>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ustomFormat="false" ht="14.25" hidden="false" customHeight="true" outlineLevel="0" collapsed="false">
      <c r="A916" s="45"/>
      <c r="B916" s="45"/>
      <c r="C916" s="87"/>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ustomFormat="false" ht="14.25" hidden="false" customHeight="true" outlineLevel="0" collapsed="false">
      <c r="A917" s="45"/>
      <c r="B917" s="45"/>
      <c r="C917" s="87"/>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ustomFormat="false" ht="14.25" hidden="false" customHeight="true" outlineLevel="0" collapsed="false">
      <c r="A918" s="45"/>
      <c r="B918" s="45"/>
      <c r="C918" s="87"/>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ustomFormat="false" ht="14.25" hidden="false" customHeight="true" outlineLevel="0" collapsed="false">
      <c r="A919" s="45"/>
      <c r="B919" s="45"/>
      <c r="C919" s="87"/>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ustomFormat="false" ht="14.25" hidden="false" customHeight="true" outlineLevel="0" collapsed="false">
      <c r="A920" s="45"/>
      <c r="B920" s="45"/>
      <c r="C920" s="87"/>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ustomFormat="false" ht="14.25" hidden="false" customHeight="true" outlineLevel="0" collapsed="false">
      <c r="A921" s="45"/>
      <c r="B921" s="45"/>
      <c r="C921" s="87"/>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ustomFormat="false" ht="14.25" hidden="false" customHeight="true" outlineLevel="0" collapsed="false">
      <c r="A922" s="45"/>
      <c r="B922" s="45"/>
      <c r="C922" s="87"/>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ustomFormat="false" ht="14.25" hidden="false" customHeight="true" outlineLevel="0" collapsed="false">
      <c r="A923" s="45"/>
      <c r="B923" s="45"/>
      <c r="C923" s="87"/>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ustomFormat="false" ht="14.25" hidden="false" customHeight="true" outlineLevel="0" collapsed="false">
      <c r="A924" s="45"/>
      <c r="B924" s="45"/>
      <c r="C924" s="87"/>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ustomFormat="false" ht="14.25" hidden="false" customHeight="true" outlineLevel="0" collapsed="false">
      <c r="A925" s="45"/>
      <c r="B925" s="45"/>
      <c r="C925" s="87"/>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ustomFormat="false" ht="14.25" hidden="false" customHeight="true" outlineLevel="0" collapsed="false">
      <c r="A926" s="45"/>
      <c r="B926" s="45"/>
      <c r="C926" s="87"/>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ustomFormat="false" ht="14.25" hidden="false" customHeight="true" outlineLevel="0" collapsed="false">
      <c r="A927" s="45"/>
      <c r="B927" s="45"/>
      <c r="C927" s="87"/>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ustomFormat="false" ht="14.25" hidden="false" customHeight="true" outlineLevel="0" collapsed="false">
      <c r="A928" s="45"/>
      <c r="B928" s="45"/>
      <c r="C928" s="87"/>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ustomFormat="false" ht="14.25" hidden="false" customHeight="true" outlineLevel="0" collapsed="false">
      <c r="A929" s="45"/>
      <c r="B929" s="45"/>
      <c r="C929" s="87"/>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ustomFormat="false" ht="14.25" hidden="false" customHeight="true" outlineLevel="0" collapsed="false">
      <c r="A930" s="45"/>
      <c r="B930" s="45"/>
      <c r="C930" s="87"/>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ustomFormat="false" ht="14.25" hidden="false" customHeight="true" outlineLevel="0" collapsed="false">
      <c r="A931" s="45"/>
      <c r="B931" s="45"/>
      <c r="C931" s="87"/>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ustomFormat="false" ht="14.25" hidden="false" customHeight="true" outlineLevel="0" collapsed="false">
      <c r="A932" s="45"/>
      <c r="B932" s="45"/>
      <c r="C932" s="87"/>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ustomFormat="false" ht="14.25" hidden="false" customHeight="true" outlineLevel="0" collapsed="false">
      <c r="A933" s="45"/>
      <c r="B933" s="45"/>
      <c r="C933" s="87"/>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ustomFormat="false" ht="14.25" hidden="false" customHeight="true" outlineLevel="0" collapsed="false">
      <c r="A934" s="45"/>
      <c r="B934" s="45"/>
      <c r="C934" s="87"/>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ustomFormat="false" ht="14.25" hidden="false" customHeight="true" outlineLevel="0" collapsed="false">
      <c r="A935" s="45"/>
      <c r="B935" s="45"/>
      <c r="C935" s="87"/>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ustomFormat="false" ht="14.25" hidden="false" customHeight="true" outlineLevel="0" collapsed="false">
      <c r="A936" s="45"/>
      <c r="B936" s="45"/>
      <c r="C936" s="87"/>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ustomFormat="false" ht="14.25" hidden="false" customHeight="true" outlineLevel="0" collapsed="false">
      <c r="A937" s="45"/>
      <c r="B937" s="45"/>
      <c r="C937" s="87"/>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ustomFormat="false" ht="14.25" hidden="false" customHeight="true" outlineLevel="0" collapsed="false">
      <c r="A938" s="45"/>
      <c r="B938" s="45"/>
      <c r="C938" s="87"/>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ustomFormat="false" ht="14.25" hidden="false" customHeight="true" outlineLevel="0" collapsed="false">
      <c r="A939" s="45"/>
      <c r="B939" s="45"/>
      <c r="C939" s="87"/>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ustomFormat="false" ht="14.25" hidden="false" customHeight="true" outlineLevel="0" collapsed="false">
      <c r="A940" s="45"/>
      <c r="B940" s="45"/>
      <c r="C940" s="87"/>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ustomFormat="false" ht="14.25" hidden="false" customHeight="true" outlineLevel="0" collapsed="false">
      <c r="A941" s="45"/>
      <c r="B941" s="45"/>
      <c r="C941" s="87"/>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ustomFormat="false" ht="14.25" hidden="false" customHeight="true" outlineLevel="0" collapsed="false">
      <c r="A942" s="45"/>
      <c r="B942" s="45"/>
      <c r="C942" s="87"/>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ustomFormat="false" ht="14.25" hidden="false" customHeight="true" outlineLevel="0" collapsed="false">
      <c r="A943" s="45"/>
      <c r="B943" s="45"/>
      <c r="C943" s="87"/>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ustomFormat="false" ht="14.25" hidden="false" customHeight="true" outlineLevel="0" collapsed="false">
      <c r="A944" s="45"/>
      <c r="B944" s="45"/>
      <c r="C944" s="87"/>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ustomFormat="false" ht="14.25" hidden="false" customHeight="true" outlineLevel="0" collapsed="false">
      <c r="A945" s="45"/>
      <c r="B945" s="45"/>
      <c r="C945" s="87"/>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ustomFormat="false" ht="14.25" hidden="false" customHeight="true" outlineLevel="0" collapsed="false">
      <c r="A946" s="45"/>
      <c r="B946" s="45"/>
      <c r="C946" s="87"/>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ustomFormat="false" ht="14.25" hidden="false" customHeight="true" outlineLevel="0" collapsed="false">
      <c r="A947" s="45"/>
      <c r="B947" s="45"/>
      <c r="C947" s="87"/>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ustomFormat="false" ht="14.25" hidden="false" customHeight="true" outlineLevel="0" collapsed="false">
      <c r="A948" s="45"/>
      <c r="B948" s="45"/>
      <c r="C948" s="87"/>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ustomFormat="false" ht="14.25" hidden="false" customHeight="true" outlineLevel="0" collapsed="false">
      <c r="A949" s="45"/>
      <c r="B949" s="45"/>
      <c r="C949" s="87"/>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ustomFormat="false" ht="14.25" hidden="false" customHeight="true" outlineLevel="0" collapsed="false">
      <c r="A950" s="45"/>
      <c r="B950" s="45"/>
      <c r="C950" s="87"/>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ustomFormat="false" ht="14.25" hidden="false" customHeight="true" outlineLevel="0" collapsed="false">
      <c r="A951" s="45"/>
      <c r="B951" s="45"/>
      <c r="C951" s="87"/>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ustomFormat="false" ht="14.25" hidden="false" customHeight="true" outlineLevel="0" collapsed="false">
      <c r="A952" s="45"/>
      <c r="B952" s="45"/>
      <c r="C952" s="87"/>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ustomFormat="false" ht="14.25" hidden="false" customHeight="true" outlineLevel="0" collapsed="false">
      <c r="A953" s="45"/>
      <c r="B953" s="45"/>
      <c r="C953" s="87"/>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ustomFormat="false" ht="14.25" hidden="false" customHeight="true" outlineLevel="0" collapsed="false">
      <c r="A954" s="45"/>
      <c r="B954" s="45"/>
      <c r="C954" s="87"/>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ustomFormat="false" ht="14.25" hidden="false" customHeight="true" outlineLevel="0" collapsed="false">
      <c r="A955" s="45"/>
      <c r="B955" s="45"/>
      <c r="C955" s="87"/>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ustomFormat="false" ht="14.25" hidden="false" customHeight="true" outlineLevel="0" collapsed="false">
      <c r="A956" s="45"/>
      <c r="B956" s="45"/>
      <c r="C956" s="87"/>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ustomFormat="false" ht="14.25" hidden="false" customHeight="true" outlineLevel="0" collapsed="false">
      <c r="A957" s="45"/>
      <c r="B957" s="45"/>
      <c r="C957" s="87"/>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ustomFormat="false" ht="14.25" hidden="false" customHeight="true" outlineLevel="0" collapsed="false">
      <c r="A958" s="45"/>
      <c r="B958" s="45"/>
      <c r="C958" s="87"/>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ustomFormat="false" ht="14.25" hidden="false" customHeight="true" outlineLevel="0" collapsed="false">
      <c r="A959" s="45"/>
      <c r="B959" s="45"/>
      <c r="C959" s="87"/>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ustomFormat="false" ht="14.25" hidden="false" customHeight="true" outlineLevel="0" collapsed="false">
      <c r="A960" s="45"/>
      <c r="B960" s="45"/>
      <c r="C960" s="87"/>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ustomFormat="false" ht="14.25" hidden="false" customHeight="true" outlineLevel="0" collapsed="false">
      <c r="A961" s="45"/>
      <c r="B961" s="45"/>
      <c r="C961" s="87"/>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ustomFormat="false" ht="14.25" hidden="false" customHeight="true" outlineLevel="0" collapsed="false">
      <c r="A962" s="45"/>
      <c r="B962" s="45"/>
      <c r="C962" s="87"/>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ustomFormat="false" ht="14.25" hidden="false" customHeight="true" outlineLevel="0" collapsed="false">
      <c r="A963" s="45"/>
      <c r="B963" s="45"/>
      <c r="C963" s="87"/>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ustomFormat="false" ht="14.25" hidden="false" customHeight="true" outlineLevel="0" collapsed="false">
      <c r="A964" s="45"/>
      <c r="B964" s="45"/>
      <c r="C964" s="87"/>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ustomFormat="false" ht="14.25" hidden="false" customHeight="true" outlineLevel="0" collapsed="false">
      <c r="A965" s="45"/>
      <c r="B965" s="45"/>
      <c r="C965" s="87"/>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ustomFormat="false" ht="14.25" hidden="false" customHeight="true" outlineLevel="0" collapsed="false">
      <c r="A966" s="45"/>
      <c r="B966" s="45"/>
      <c r="C966" s="87"/>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ustomFormat="false" ht="14.25" hidden="false" customHeight="true" outlineLevel="0" collapsed="false">
      <c r="A967" s="45"/>
      <c r="B967" s="45"/>
      <c r="C967" s="87"/>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ustomFormat="false" ht="14.25" hidden="false" customHeight="true" outlineLevel="0" collapsed="false">
      <c r="A968" s="45"/>
      <c r="B968" s="45"/>
      <c r="C968" s="87"/>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ustomFormat="false" ht="14.25" hidden="false" customHeight="true" outlineLevel="0" collapsed="false">
      <c r="A969" s="45"/>
      <c r="B969" s="45"/>
      <c r="C969" s="87"/>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ustomFormat="false" ht="14.25" hidden="false" customHeight="true" outlineLevel="0" collapsed="false">
      <c r="A970" s="45"/>
      <c r="B970" s="45"/>
      <c r="C970" s="87"/>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ustomFormat="false" ht="14.25" hidden="false" customHeight="true" outlineLevel="0" collapsed="false">
      <c r="A971" s="45"/>
      <c r="B971" s="45"/>
      <c r="C971" s="87"/>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ustomFormat="false" ht="14.25" hidden="false" customHeight="true" outlineLevel="0" collapsed="false">
      <c r="A972" s="45"/>
      <c r="B972" s="45"/>
      <c r="C972" s="87"/>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ustomFormat="false" ht="14.25" hidden="false" customHeight="true" outlineLevel="0" collapsed="false">
      <c r="A973" s="45"/>
      <c r="B973" s="45"/>
      <c r="C973" s="87"/>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ustomFormat="false" ht="14.25" hidden="false" customHeight="true" outlineLevel="0" collapsed="false">
      <c r="A974" s="45"/>
      <c r="B974" s="45"/>
      <c r="C974" s="87"/>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ustomFormat="false" ht="14.25" hidden="false" customHeight="true" outlineLevel="0" collapsed="false">
      <c r="A975" s="45"/>
      <c r="B975" s="45"/>
      <c r="C975" s="87"/>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ustomFormat="false" ht="14.25" hidden="false" customHeight="true" outlineLevel="0" collapsed="false">
      <c r="A976" s="45"/>
      <c r="B976" s="45"/>
      <c r="C976" s="87"/>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ustomFormat="false" ht="14.25" hidden="false" customHeight="true" outlineLevel="0" collapsed="false">
      <c r="A977" s="45"/>
      <c r="B977" s="45"/>
      <c r="C977" s="87"/>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ustomFormat="false" ht="14.25" hidden="false" customHeight="true" outlineLevel="0" collapsed="false">
      <c r="A978" s="45"/>
      <c r="B978" s="45"/>
      <c r="C978" s="87"/>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ustomFormat="false" ht="14.25" hidden="false" customHeight="true" outlineLevel="0" collapsed="false">
      <c r="A979" s="45"/>
      <c r="B979" s="45"/>
      <c r="C979" s="87"/>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ustomFormat="false" ht="14.25" hidden="false" customHeight="true" outlineLevel="0" collapsed="false">
      <c r="A980" s="45"/>
      <c r="B980" s="45"/>
      <c r="C980" s="87"/>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ustomFormat="false" ht="14.25" hidden="false" customHeight="true" outlineLevel="0" collapsed="false">
      <c r="A981" s="45"/>
      <c r="B981" s="45"/>
      <c r="C981" s="87"/>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ustomFormat="false" ht="14.25" hidden="false" customHeight="true" outlineLevel="0" collapsed="false">
      <c r="A982" s="45"/>
      <c r="B982" s="45"/>
      <c r="C982" s="87"/>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ustomFormat="false" ht="14.25" hidden="false" customHeight="true" outlineLevel="0" collapsed="false">
      <c r="A983" s="45"/>
      <c r="B983" s="45"/>
      <c r="C983" s="87"/>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ustomFormat="false" ht="14.25" hidden="false" customHeight="true" outlineLevel="0" collapsed="false">
      <c r="A984" s="45"/>
      <c r="B984" s="45"/>
      <c r="C984" s="87"/>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ustomFormat="false" ht="14.25" hidden="false" customHeight="true" outlineLevel="0" collapsed="false">
      <c r="A985" s="45"/>
      <c r="B985" s="45"/>
      <c r="C985" s="87"/>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ustomFormat="false" ht="14.25" hidden="false" customHeight="true" outlineLevel="0" collapsed="false">
      <c r="A986" s="45"/>
      <c r="B986" s="45"/>
      <c r="C986" s="87"/>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ustomFormat="false" ht="14.25" hidden="false" customHeight="true" outlineLevel="0" collapsed="false">
      <c r="A987" s="45"/>
      <c r="B987" s="45"/>
      <c r="C987" s="87"/>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ustomFormat="false" ht="14.25" hidden="false" customHeight="true" outlineLevel="0" collapsed="false">
      <c r="A988" s="45"/>
      <c r="B988" s="45"/>
      <c r="C988" s="87"/>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ustomFormat="false" ht="14.25" hidden="false" customHeight="true" outlineLevel="0" collapsed="false">
      <c r="A989" s="45"/>
      <c r="B989" s="45"/>
      <c r="C989" s="87"/>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ustomFormat="false" ht="14.25" hidden="false" customHeight="true" outlineLevel="0" collapsed="false">
      <c r="A990" s="45"/>
      <c r="B990" s="45"/>
      <c r="C990" s="87"/>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ustomFormat="false" ht="14.25" hidden="false" customHeight="true" outlineLevel="0" collapsed="false">
      <c r="A991" s="45"/>
      <c r="B991" s="45"/>
      <c r="C991" s="87"/>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ustomFormat="false" ht="14.25" hidden="false" customHeight="true" outlineLevel="0" collapsed="false">
      <c r="A992" s="45"/>
      <c r="B992" s="45"/>
      <c r="C992" s="87"/>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ustomFormat="false" ht="14.25" hidden="false" customHeight="true" outlineLevel="0" collapsed="false">
      <c r="A993" s="45"/>
      <c r="B993" s="45"/>
      <c r="C993" s="87"/>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ustomFormat="false" ht="14.25" hidden="false" customHeight="true" outlineLevel="0" collapsed="false">
      <c r="A994" s="45"/>
      <c r="B994" s="45"/>
      <c r="C994" s="87"/>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ustomFormat="false" ht="14.25" hidden="false" customHeight="true" outlineLevel="0" collapsed="false">
      <c r="A995" s="45"/>
      <c r="B995" s="45"/>
      <c r="C995" s="87"/>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ustomFormat="false" ht="14.25" hidden="false" customHeight="true" outlineLevel="0" collapsed="false">
      <c r="A996" s="45"/>
      <c r="B996" s="45"/>
      <c r="C996" s="87"/>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ustomFormat="false" ht="14.25" hidden="false" customHeight="true" outlineLevel="0" collapsed="false">
      <c r="A997" s="45"/>
      <c r="B997" s="45"/>
      <c r="C997" s="87"/>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ustomFormat="false" ht="14.25" hidden="false" customHeight="true" outlineLevel="0" collapsed="false">
      <c r="A998" s="45"/>
      <c r="B998" s="45"/>
      <c r="C998" s="87"/>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ustomFormat="false" ht="14.25" hidden="false" customHeight="true" outlineLevel="0" collapsed="false">
      <c r="A999" s="45"/>
      <c r="B999" s="45"/>
      <c r="C999" s="87"/>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ustomFormat="false" ht="14.25" hidden="false" customHeight="true" outlineLevel="0" collapsed="false">
      <c r="A1000" s="45"/>
      <c r="B1000" s="45"/>
      <c r="C1000" s="87"/>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customFormat="false" ht="14.25" hidden="false" customHeight="true" outlineLevel="0" collapsed="false">
      <c r="A1001" s="45"/>
      <c r="B1001" s="45"/>
      <c r="C1001" s="87"/>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row r="1002" customFormat="false" ht="14.25" hidden="false" customHeight="true" outlineLevel="0" collapsed="false">
      <c r="A1002" s="45"/>
      <c r="B1002" s="45"/>
      <c r="C1002" s="87"/>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row>
    <row r="1003" customFormat="false" ht="14.25" hidden="false" customHeight="true" outlineLevel="0" collapsed="false">
      <c r="A1003" s="45"/>
      <c r="B1003" s="45"/>
      <c r="C1003" s="87"/>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row>
    <row r="1004" customFormat="false" ht="14.25" hidden="false" customHeight="true" outlineLevel="0" collapsed="false">
      <c r="A1004" s="45"/>
      <c r="B1004" s="45"/>
      <c r="C1004" s="87"/>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row>
    <row r="1005" customFormat="false" ht="14.25" hidden="false" customHeight="true" outlineLevel="0" collapsed="false">
      <c r="A1005" s="45"/>
      <c r="B1005" s="45"/>
      <c r="C1005" s="87"/>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row>
    <row r="1006" customFormat="false" ht="14.25" hidden="false" customHeight="true" outlineLevel="0" collapsed="false">
      <c r="A1006" s="45"/>
      <c r="B1006" s="45"/>
      <c r="C1006" s="87"/>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c r="Z1006" s="45"/>
    </row>
    <row r="1007" customFormat="false" ht="14.25" hidden="false" customHeight="true" outlineLevel="0" collapsed="false">
      <c r="A1007" s="45"/>
      <c r="B1007" s="45"/>
      <c r="C1007" s="87"/>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c r="Z1007" s="45"/>
    </row>
    <row r="1008" customFormat="false" ht="14.25" hidden="false" customHeight="true" outlineLevel="0" collapsed="false">
      <c r="A1008" s="45"/>
      <c r="B1008" s="45"/>
      <c r="C1008" s="87"/>
      <c r="D1008" s="45"/>
      <c r="E1008" s="45"/>
      <c r="F1008" s="45"/>
      <c r="G1008" s="45"/>
      <c r="H1008" s="45"/>
      <c r="I1008" s="45"/>
      <c r="J1008" s="45"/>
      <c r="K1008" s="45"/>
      <c r="L1008" s="45"/>
      <c r="M1008" s="45"/>
      <c r="N1008" s="45"/>
      <c r="O1008" s="45"/>
      <c r="P1008" s="45"/>
      <c r="Q1008" s="45"/>
      <c r="R1008" s="45"/>
      <c r="S1008" s="45"/>
      <c r="T1008" s="45"/>
      <c r="U1008" s="45"/>
      <c r="V1008" s="45"/>
      <c r="W1008" s="45"/>
      <c r="X1008" s="45"/>
      <c r="Y1008" s="45"/>
      <c r="Z1008" s="45"/>
    </row>
    <row r="1009" customFormat="false" ht="14.25" hidden="false" customHeight="true" outlineLevel="0" collapsed="false">
      <c r="A1009" s="45"/>
      <c r="B1009" s="45"/>
      <c r="C1009" s="87"/>
      <c r="D1009" s="45"/>
      <c r="E1009" s="45"/>
      <c r="F1009" s="45"/>
      <c r="G1009" s="45"/>
      <c r="H1009" s="45"/>
      <c r="I1009" s="45"/>
      <c r="J1009" s="45"/>
      <c r="K1009" s="45"/>
      <c r="L1009" s="45"/>
      <c r="M1009" s="45"/>
      <c r="N1009" s="45"/>
      <c r="O1009" s="45"/>
      <c r="P1009" s="45"/>
      <c r="Q1009" s="45"/>
      <c r="R1009" s="45"/>
      <c r="S1009" s="45"/>
      <c r="T1009" s="45"/>
      <c r="U1009" s="45"/>
      <c r="V1009" s="45"/>
      <c r="W1009" s="45"/>
      <c r="X1009" s="45"/>
      <c r="Y1009" s="45"/>
      <c r="Z1009" s="45"/>
    </row>
    <row r="1010" customFormat="false" ht="14.25" hidden="false" customHeight="true" outlineLevel="0" collapsed="false">
      <c r="A1010" s="45"/>
      <c r="B1010" s="45"/>
      <c r="C1010" s="87"/>
      <c r="D1010" s="45"/>
      <c r="E1010" s="45"/>
      <c r="F1010" s="45"/>
      <c r="G1010" s="45"/>
      <c r="H1010" s="45"/>
      <c r="I1010" s="45"/>
      <c r="J1010" s="45"/>
      <c r="K1010" s="45"/>
      <c r="L1010" s="45"/>
      <c r="M1010" s="45"/>
      <c r="N1010" s="45"/>
      <c r="O1010" s="45"/>
      <c r="P1010" s="45"/>
      <c r="Q1010" s="45"/>
      <c r="R1010" s="45"/>
      <c r="S1010" s="45"/>
      <c r="T1010" s="45"/>
      <c r="U1010" s="45"/>
      <c r="V1010" s="45"/>
      <c r="W1010" s="45"/>
      <c r="X1010" s="45"/>
      <c r="Y1010" s="45"/>
      <c r="Z1010" s="45"/>
    </row>
  </sheetData>
  <mergeCells count="25">
    <mergeCell ref="A1:I1"/>
    <mergeCell ref="A2:I2"/>
    <mergeCell ref="F3:I3"/>
    <mergeCell ref="B4:D4"/>
    <mergeCell ref="F4:I4"/>
    <mergeCell ref="A6:A7"/>
    <mergeCell ref="B6:B7"/>
    <mergeCell ref="C6:C7"/>
    <mergeCell ref="E6:E7"/>
    <mergeCell ref="F6:G7"/>
    <mergeCell ref="H6:I6"/>
    <mergeCell ref="F8:G8"/>
    <mergeCell ref="F9:G9"/>
    <mergeCell ref="F11:G11"/>
    <mergeCell ref="F13:G13"/>
    <mergeCell ref="F15:G15"/>
    <mergeCell ref="F16:G16"/>
    <mergeCell ref="F17:G17"/>
    <mergeCell ref="F18:G18"/>
    <mergeCell ref="F22:G22"/>
    <mergeCell ref="F23:G23"/>
    <mergeCell ref="F24:G24"/>
    <mergeCell ref="F29:G29"/>
    <mergeCell ref="A30:B30"/>
    <mergeCell ref="F30:G30"/>
  </mergeCells>
  <printOptions headings="false" gridLines="false" gridLinesSet="true" horizontalCentered="false" verticalCentered="false"/>
  <pageMargins left="0.3" right="0.157638888888889" top="0.354166666666667" bottom="0.236111111111111" header="0.511811023622047" footer="0.511811023622047"/>
  <pageSetup paperSize="9" scale="72"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7.86"/>
    <col collapsed="false" customWidth="true" hidden="false" outlineLevel="0" max="2" min="2" style="1" width="45.43"/>
    <col collapsed="false" customWidth="true" hidden="false" outlineLevel="0" max="3" min="3" style="1" width="92.43"/>
    <col collapsed="false" customWidth="true" hidden="false" outlineLevel="0" max="4" min="4" style="1" width="11.71"/>
    <col collapsed="false" customWidth="true" hidden="false" outlineLevel="0" max="5" min="5" style="1" width="11"/>
    <col collapsed="false" customWidth="true" hidden="false" outlineLevel="0" max="6" min="6" style="1" width="16.84"/>
    <col collapsed="false" customWidth="true" hidden="false" outlineLevel="0" max="7" min="7" style="1" width="28.14"/>
    <col collapsed="false" customWidth="true" hidden="false" outlineLevel="0" max="8" min="8" style="1" width="13.43"/>
    <col collapsed="false" customWidth="true" hidden="false" outlineLevel="0" max="9" min="9" style="1" width="14"/>
    <col collapsed="false" customWidth="true" hidden="false" outlineLevel="0" max="10" min="10" style="1" width="12.57"/>
    <col collapsed="false" customWidth="true" hidden="false" outlineLevel="0" max="11" min="11" style="1" width="11.43"/>
    <col collapsed="false" customWidth="true" hidden="false" outlineLevel="0" max="27" min="12" style="1" width="9.14"/>
  </cols>
  <sheetData>
    <row r="1" customFormat="false" ht="14.25" hidden="false" customHeight="true" outlineLevel="0" collapsed="false">
      <c r="A1" s="44" t="s">
        <v>5</v>
      </c>
      <c r="B1" s="44"/>
      <c r="C1" s="44"/>
      <c r="D1" s="44"/>
      <c r="E1" s="44"/>
      <c r="F1" s="44"/>
      <c r="G1" s="44"/>
      <c r="H1" s="44"/>
      <c r="I1" s="44"/>
      <c r="J1" s="44"/>
      <c r="K1" s="44"/>
      <c r="L1" s="45"/>
      <c r="M1" s="45"/>
      <c r="N1" s="45"/>
      <c r="O1" s="45"/>
      <c r="P1" s="45"/>
      <c r="Q1" s="45"/>
      <c r="R1" s="45"/>
      <c r="S1" s="45"/>
      <c r="T1" s="45"/>
      <c r="U1" s="45"/>
      <c r="V1" s="45"/>
      <c r="W1" s="45"/>
      <c r="X1" s="45"/>
      <c r="Y1" s="45"/>
      <c r="Z1" s="45"/>
      <c r="AA1" s="45"/>
    </row>
    <row r="2" customFormat="false" ht="14.25" hidden="false" customHeight="true" outlineLevel="0" collapsed="false">
      <c r="A2" s="44" t="str">
        <f aca="false">CONCATENATE("DEPARTMENTAL REVENUE EXP BUDGET - ",List!$C$4)</f>
        <v>DEPARTMENTAL REVENUE EXP BUDGET - 2026-27</v>
      </c>
      <c r="B2" s="44"/>
      <c r="C2" s="44"/>
      <c r="D2" s="44"/>
      <c r="E2" s="44"/>
      <c r="F2" s="44"/>
      <c r="G2" s="44"/>
      <c r="H2" s="44"/>
      <c r="I2" s="44"/>
      <c r="J2" s="44"/>
      <c r="K2" s="44"/>
      <c r="L2" s="45"/>
      <c r="M2" s="45"/>
      <c r="N2" s="45"/>
      <c r="O2" s="45"/>
      <c r="P2" s="45"/>
      <c r="Q2" s="45"/>
      <c r="R2" s="45"/>
      <c r="S2" s="45"/>
      <c r="T2" s="45"/>
      <c r="U2" s="45"/>
      <c r="V2" s="45"/>
      <c r="W2" s="45"/>
      <c r="X2" s="45"/>
      <c r="Y2" s="45"/>
      <c r="Z2" s="45"/>
      <c r="AA2" s="45"/>
    </row>
    <row r="3" customFormat="false" ht="14.25" hidden="false" customHeight="true" outlineLevel="0" collapsed="false">
      <c r="A3" s="47" t="s">
        <v>31</v>
      </c>
      <c r="B3" s="48"/>
      <c r="C3" s="48" t="s">
        <v>32</v>
      </c>
      <c r="D3" s="48"/>
      <c r="E3" s="48"/>
      <c r="F3" s="48"/>
      <c r="G3" s="51" t="str">
        <f aca="false">CONCATENATE("ACADEMIC YEAR - ",List!C4)</f>
        <v>ACADEMIC YEAR - 2026-27</v>
      </c>
      <c r="H3" s="51"/>
      <c r="I3" s="51"/>
      <c r="J3" s="51"/>
      <c r="K3" s="51"/>
      <c r="L3" s="45"/>
      <c r="M3" s="45"/>
      <c r="N3" s="45"/>
      <c r="O3" s="45"/>
      <c r="P3" s="45"/>
      <c r="Q3" s="45"/>
      <c r="R3" s="45"/>
      <c r="S3" s="45"/>
      <c r="T3" s="45"/>
      <c r="U3" s="45"/>
      <c r="V3" s="45"/>
      <c r="W3" s="45"/>
      <c r="X3" s="45"/>
      <c r="Y3" s="45"/>
      <c r="Z3" s="45"/>
      <c r="AA3" s="45"/>
    </row>
    <row r="4" customFormat="false" ht="14.25" hidden="false" customHeight="true" outlineLevel="0" collapsed="false">
      <c r="A4" s="61" t="s">
        <v>34</v>
      </c>
      <c r="B4" s="61" t="s">
        <v>89</v>
      </c>
      <c r="C4" s="61" t="s">
        <v>36</v>
      </c>
      <c r="D4" s="61" t="s">
        <v>90</v>
      </c>
      <c r="E4" s="91" t="s">
        <v>91</v>
      </c>
      <c r="F4" s="61" t="s">
        <v>92</v>
      </c>
      <c r="G4" s="61" t="s">
        <v>93</v>
      </c>
      <c r="H4" s="61" t="s">
        <v>94</v>
      </c>
      <c r="I4" s="61"/>
      <c r="J4" s="61" t="s">
        <v>40</v>
      </c>
      <c r="K4" s="61"/>
      <c r="L4" s="92"/>
      <c r="M4" s="92"/>
      <c r="N4" s="92"/>
      <c r="O4" s="92"/>
      <c r="P4" s="92"/>
      <c r="Q4" s="92"/>
      <c r="R4" s="92"/>
      <c r="S4" s="92"/>
      <c r="T4" s="92"/>
      <c r="U4" s="92"/>
      <c r="V4" s="92"/>
      <c r="W4" s="92"/>
      <c r="X4" s="92"/>
      <c r="Y4" s="92"/>
      <c r="Z4" s="92"/>
      <c r="AA4" s="92"/>
    </row>
    <row r="5" customFormat="false" ht="14.25" hidden="false" customHeight="true" outlineLevel="0" collapsed="false">
      <c r="A5" s="63"/>
      <c r="B5" s="45"/>
      <c r="C5" s="45"/>
      <c r="D5" s="64"/>
      <c r="E5" s="64"/>
      <c r="F5" s="64"/>
      <c r="G5" s="64"/>
      <c r="H5" s="64"/>
      <c r="I5" s="64"/>
      <c r="J5" s="61" t="s">
        <v>41</v>
      </c>
      <c r="K5" s="61" t="s">
        <v>42</v>
      </c>
      <c r="L5" s="45"/>
      <c r="M5" s="45"/>
      <c r="N5" s="45"/>
      <c r="O5" s="45"/>
      <c r="P5" s="45"/>
      <c r="Q5" s="45"/>
      <c r="R5" s="45"/>
      <c r="S5" s="45"/>
      <c r="T5" s="45"/>
      <c r="U5" s="45"/>
      <c r="V5" s="45"/>
      <c r="W5" s="45"/>
      <c r="X5" s="45"/>
      <c r="Y5" s="45"/>
      <c r="Z5" s="45"/>
      <c r="AA5" s="45"/>
    </row>
    <row r="6" customFormat="false" ht="14.25" hidden="false" customHeight="true" outlineLevel="0" collapsed="false">
      <c r="A6" s="93"/>
      <c r="B6" s="94" t="s">
        <v>95</v>
      </c>
      <c r="C6" s="94"/>
      <c r="D6" s="95"/>
      <c r="E6" s="95"/>
      <c r="F6" s="95"/>
      <c r="G6" s="95"/>
      <c r="H6" s="95"/>
      <c r="I6" s="95"/>
      <c r="J6" s="96"/>
      <c r="K6" s="96"/>
      <c r="L6" s="45"/>
      <c r="M6" s="45"/>
      <c r="N6" s="45"/>
      <c r="O6" s="45"/>
      <c r="P6" s="45"/>
      <c r="Q6" s="45"/>
      <c r="R6" s="45"/>
      <c r="S6" s="45"/>
      <c r="T6" s="45"/>
      <c r="U6" s="45"/>
      <c r="V6" s="45"/>
      <c r="W6" s="45"/>
      <c r="X6" s="45"/>
      <c r="Y6" s="45"/>
      <c r="Z6" s="45"/>
      <c r="AA6" s="45"/>
    </row>
    <row r="7" customFormat="false" ht="14.25" hidden="false" customHeight="true" outlineLevel="0" collapsed="false">
      <c r="A7" s="76" t="n">
        <v>1</v>
      </c>
      <c r="B7" s="77" t="s">
        <v>96</v>
      </c>
      <c r="C7" s="77" t="s">
        <v>97</v>
      </c>
      <c r="D7" s="64" t="n">
        <v>6</v>
      </c>
      <c r="E7" s="77" t="s">
        <v>98</v>
      </c>
      <c r="F7" s="64" t="n">
        <v>4680000</v>
      </c>
      <c r="G7" s="64"/>
      <c r="H7" s="64"/>
      <c r="I7" s="64"/>
      <c r="J7" s="64"/>
      <c r="K7" s="64"/>
      <c r="L7" s="45"/>
      <c r="M7" s="45"/>
      <c r="N7" s="45"/>
      <c r="O7" s="45"/>
      <c r="P7" s="45"/>
      <c r="Q7" s="45"/>
      <c r="R7" s="45"/>
      <c r="S7" s="45"/>
      <c r="T7" s="45"/>
      <c r="U7" s="45"/>
      <c r="V7" s="45"/>
      <c r="W7" s="45"/>
      <c r="X7" s="45"/>
      <c r="Y7" s="45"/>
      <c r="Z7" s="45"/>
      <c r="AA7" s="45"/>
    </row>
    <row r="8" customFormat="false" ht="50.25" hidden="false" customHeight="true" outlineLevel="0" collapsed="false">
      <c r="A8" s="76" t="n">
        <f aca="false">A7+1</f>
        <v>2</v>
      </c>
      <c r="B8" s="77" t="s">
        <v>99</v>
      </c>
      <c r="C8" s="77" t="s">
        <v>100</v>
      </c>
      <c r="D8" s="64" t="n">
        <v>10</v>
      </c>
      <c r="E8" s="64" t="n">
        <v>2500</v>
      </c>
      <c r="F8" s="64" t="n">
        <v>25000</v>
      </c>
      <c r="G8" s="77" t="s">
        <v>101</v>
      </c>
      <c r="H8" s="77" t="s">
        <v>102</v>
      </c>
      <c r="I8" s="77"/>
      <c r="J8" s="64" t="n">
        <v>22500</v>
      </c>
      <c r="K8" s="64"/>
      <c r="L8" s="45"/>
      <c r="M8" s="45"/>
      <c r="N8" s="45"/>
      <c r="O8" s="45"/>
      <c r="P8" s="45"/>
      <c r="Q8" s="45"/>
      <c r="R8" s="45"/>
      <c r="S8" s="45"/>
      <c r="T8" s="45"/>
      <c r="U8" s="45"/>
      <c r="V8" s="45"/>
      <c r="W8" s="45"/>
      <c r="X8" s="45"/>
      <c r="Y8" s="45"/>
      <c r="Z8" s="45"/>
      <c r="AA8" s="45"/>
    </row>
    <row r="9" customFormat="false" ht="14.25" hidden="false" customHeight="true" outlineLevel="0" collapsed="false">
      <c r="A9" s="97" t="n">
        <f aca="false">A8+1</f>
        <v>3</v>
      </c>
      <c r="B9" s="98" t="s">
        <v>103</v>
      </c>
      <c r="C9" s="98" t="s">
        <v>104</v>
      </c>
      <c r="D9" s="99" t="n">
        <v>10</v>
      </c>
      <c r="E9" s="99" t="n">
        <v>2500</v>
      </c>
      <c r="F9" s="99" t="n">
        <v>25000</v>
      </c>
      <c r="G9" s="99"/>
      <c r="H9" s="99"/>
      <c r="I9" s="99"/>
      <c r="J9" s="99"/>
      <c r="K9" s="99"/>
      <c r="L9" s="100"/>
      <c r="M9" s="100"/>
      <c r="N9" s="100"/>
      <c r="O9" s="100"/>
      <c r="P9" s="100"/>
      <c r="Q9" s="100"/>
      <c r="R9" s="100"/>
      <c r="S9" s="100"/>
      <c r="T9" s="100"/>
      <c r="U9" s="100"/>
      <c r="V9" s="100"/>
      <c r="W9" s="100"/>
      <c r="X9" s="100"/>
      <c r="Y9" s="100"/>
      <c r="Z9" s="100"/>
      <c r="AA9" s="100"/>
    </row>
    <row r="10" customFormat="false" ht="14.25" hidden="false" customHeight="true" outlineLevel="0" collapsed="false">
      <c r="A10" s="76" t="n">
        <v>4</v>
      </c>
      <c r="B10" s="77" t="s">
        <v>105</v>
      </c>
      <c r="C10" s="77" t="s">
        <v>106</v>
      </c>
      <c r="D10" s="64"/>
      <c r="E10" s="64"/>
      <c r="F10" s="64"/>
      <c r="G10" s="64"/>
      <c r="H10" s="64"/>
      <c r="I10" s="64"/>
      <c r="J10" s="64"/>
      <c r="K10" s="64"/>
      <c r="L10" s="45"/>
      <c r="M10" s="45"/>
      <c r="N10" s="45"/>
      <c r="O10" s="45"/>
      <c r="P10" s="45"/>
      <c r="Q10" s="45"/>
      <c r="R10" s="45"/>
      <c r="S10" s="45"/>
      <c r="T10" s="45"/>
      <c r="U10" s="45"/>
      <c r="V10" s="45"/>
      <c r="W10" s="45"/>
      <c r="X10" s="45"/>
      <c r="Y10" s="45"/>
      <c r="Z10" s="45"/>
      <c r="AA10" s="45"/>
    </row>
    <row r="11" customFormat="false" ht="14.25" hidden="false" customHeight="true" outlineLevel="0" collapsed="false">
      <c r="A11" s="76" t="n">
        <v>5</v>
      </c>
      <c r="B11" s="77" t="s">
        <v>107</v>
      </c>
      <c r="C11" s="77" t="s">
        <v>108</v>
      </c>
      <c r="D11" s="64"/>
      <c r="E11" s="64"/>
      <c r="F11" s="64"/>
      <c r="G11" s="64"/>
      <c r="H11" s="71"/>
      <c r="I11" s="73"/>
      <c r="J11" s="64"/>
      <c r="K11" s="64"/>
      <c r="L11" s="45"/>
      <c r="M11" s="45"/>
      <c r="N11" s="45"/>
      <c r="O11" s="45"/>
      <c r="P11" s="45"/>
      <c r="Q11" s="45"/>
      <c r="R11" s="45"/>
      <c r="S11" s="45"/>
      <c r="T11" s="45"/>
      <c r="U11" s="45"/>
      <c r="V11" s="45"/>
      <c r="W11" s="45"/>
      <c r="X11" s="45"/>
      <c r="Y11" s="45"/>
      <c r="Z11" s="45"/>
      <c r="AA11" s="45"/>
    </row>
    <row r="12" customFormat="false" ht="14.25" hidden="false" customHeight="true" outlineLevel="0" collapsed="false">
      <c r="A12" s="76" t="n">
        <v>6</v>
      </c>
      <c r="B12" s="101" t="s">
        <v>109</v>
      </c>
      <c r="C12" s="101" t="s">
        <v>110</v>
      </c>
      <c r="D12" s="64" t="s">
        <v>111</v>
      </c>
      <c r="E12" s="77" t="s">
        <v>112</v>
      </c>
      <c r="F12" s="64" t="n">
        <v>1600000</v>
      </c>
      <c r="G12" s="77" t="s">
        <v>113</v>
      </c>
      <c r="H12" s="71"/>
      <c r="I12" s="73"/>
      <c r="J12" s="64"/>
      <c r="K12" s="64"/>
      <c r="L12" s="45"/>
      <c r="M12" s="45"/>
      <c r="N12" s="45"/>
      <c r="O12" s="45"/>
      <c r="P12" s="45"/>
      <c r="Q12" s="45"/>
      <c r="R12" s="45"/>
      <c r="S12" s="45"/>
      <c r="T12" s="45"/>
      <c r="U12" s="45"/>
      <c r="V12" s="45"/>
      <c r="W12" s="45"/>
      <c r="X12" s="45"/>
      <c r="Y12" s="45"/>
      <c r="Z12" s="45"/>
      <c r="AA12" s="45"/>
    </row>
    <row r="13" customFormat="false" ht="14.25" hidden="false" customHeight="true" outlineLevel="0" collapsed="false">
      <c r="A13" s="102" t="n">
        <v>7</v>
      </c>
      <c r="B13" s="98" t="s">
        <v>114</v>
      </c>
      <c r="C13" s="103"/>
      <c r="D13" s="104" t="n">
        <v>15</v>
      </c>
      <c r="E13" s="105" t="n">
        <v>5000</v>
      </c>
      <c r="F13" s="105" t="n">
        <v>75000</v>
      </c>
      <c r="G13" s="106" t="s">
        <v>115</v>
      </c>
      <c r="H13" s="107"/>
      <c r="I13" s="107"/>
      <c r="J13" s="107" t="n">
        <v>0</v>
      </c>
      <c r="K13" s="99"/>
      <c r="L13" s="100"/>
      <c r="M13" s="100"/>
      <c r="N13" s="100"/>
      <c r="O13" s="100"/>
      <c r="P13" s="100"/>
      <c r="Q13" s="100"/>
      <c r="R13" s="100"/>
      <c r="S13" s="100"/>
      <c r="T13" s="100"/>
      <c r="U13" s="100"/>
      <c r="V13" s="100"/>
      <c r="W13" s="100"/>
      <c r="X13" s="100"/>
      <c r="Y13" s="100"/>
      <c r="Z13" s="100"/>
      <c r="AA13" s="100"/>
    </row>
    <row r="14" customFormat="false" ht="14.25" hidden="false" customHeight="true" outlineLevel="0" collapsed="false">
      <c r="A14" s="102" t="n">
        <v>8</v>
      </c>
      <c r="B14" s="98" t="s">
        <v>116</v>
      </c>
      <c r="C14" s="103"/>
      <c r="D14" s="104" t="n">
        <v>1</v>
      </c>
      <c r="E14" s="105" t="n">
        <v>125000</v>
      </c>
      <c r="F14" s="105" t="n">
        <v>125000</v>
      </c>
      <c r="G14" s="98"/>
      <c r="H14" s="108"/>
      <c r="I14" s="109"/>
      <c r="J14" s="99"/>
      <c r="K14" s="99"/>
      <c r="L14" s="100"/>
      <c r="M14" s="100"/>
      <c r="N14" s="100"/>
      <c r="O14" s="100"/>
      <c r="P14" s="100"/>
      <c r="Q14" s="100"/>
      <c r="R14" s="100"/>
      <c r="S14" s="100"/>
      <c r="T14" s="100"/>
      <c r="U14" s="100"/>
      <c r="V14" s="100"/>
      <c r="W14" s="100"/>
      <c r="X14" s="100"/>
      <c r="Y14" s="100"/>
      <c r="Z14" s="100"/>
      <c r="AA14" s="100"/>
    </row>
    <row r="15" customFormat="false" ht="14.25" hidden="false" customHeight="true" outlineLevel="0" collapsed="false">
      <c r="A15" s="97"/>
      <c r="B15" s="110"/>
      <c r="C15" s="111"/>
      <c r="D15" s="112"/>
      <c r="E15" s="105"/>
      <c r="F15" s="105"/>
      <c r="G15" s="106"/>
      <c r="H15" s="108"/>
      <c r="I15" s="109"/>
      <c r="J15" s="99"/>
      <c r="K15" s="99"/>
      <c r="L15" s="100"/>
      <c r="M15" s="100"/>
      <c r="N15" s="100"/>
      <c r="O15" s="100"/>
      <c r="P15" s="100"/>
      <c r="Q15" s="100"/>
      <c r="R15" s="100"/>
      <c r="S15" s="100"/>
      <c r="T15" s="100"/>
      <c r="U15" s="100"/>
      <c r="V15" s="100"/>
      <c r="W15" s="100"/>
      <c r="X15" s="100"/>
      <c r="Y15" s="100"/>
      <c r="Z15" s="100"/>
      <c r="AA15" s="100"/>
    </row>
    <row r="16" customFormat="false" ht="14.25" hidden="false" customHeight="true" outlineLevel="0" collapsed="false">
      <c r="A16" s="76"/>
      <c r="B16" s="77"/>
      <c r="C16" s="77"/>
      <c r="D16" s="64"/>
      <c r="E16" s="77"/>
      <c r="F16" s="64"/>
      <c r="G16" s="77"/>
      <c r="H16" s="71"/>
      <c r="I16" s="73"/>
      <c r="J16" s="64"/>
      <c r="K16" s="64"/>
      <c r="L16" s="45"/>
      <c r="M16" s="45"/>
      <c r="N16" s="45"/>
      <c r="O16" s="45"/>
      <c r="P16" s="45"/>
      <c r="Q16" s="45"/>
      <c r="R16" s="45"/>
      <c r="S16" s="45"/>
      <c r="T16" s="45"/>
      <c r="U16" s="45"/>
      <c r="V16" s="45"/>
      <c r="W16" s="45"/>
      <c r="X16" s="45"/>
      <c r="Y16" s="45"/>
      <c r="Z16" s="45"/>
      <c r="AA16" s="45"/>
    </row>
    <row r="17" customFormat="false" ht="14.25" hidden="false" customHeight="true" outlineLevel="0" collapsed="false">
      <c r="A17" s="76"/>
      <c r="B17" s="77"/>
      <c r="C17" s="77"/>
      <c r="D17" s="64"/>
      <c r="E17" s="77"/>
      <c r="F17" s="64"/>
      <c r="G17" s="77"/>
      <c r="H17" s="71"/>
      <c r="I17" s="73"/>
      <c r="J17" s="64"/>
      <c r="K17" s="64"/>
      <c r="L17" s="45"/>
      <c r="M17" s="45"/>
      <c r="N17" s="45"/>
      <c r="O17" s="45"/>
      <c r="P17" s="45"/>
      <c r="Q17" s="45"/>
      <c r="R17" s="45"/>
      <c r="S17" s="45"/>
      <c r="T17" s="45"/>
      <c r="U17" s="45"/>
      <c r="V17" s="45"/>
      <c r="W17" s="45"/>
      <c r="X17" s="45"/>
      <c r="Y17" s="45"/>
      <c r="Z17" s="45"/>
      <c r="AA17" s="45"/>
    </row>
    <row r="18" customFormat="false" ht="14.25" hidden="false" customHeight="true" outlineLevel="0" collapsed="false">
      <c r="A18" s="76"/>
      <c r="B18" s="77"/>
      <c r="C18" s="77"/>
      <c r="D18" s="64"/>
      <c r="E18" s="64"/>
      <c r="F18" s="64"/>
      <c r="G18" s="64"/>
      <c r="H18" s="64"/>
      <c r="I18" s="64"/>
      <c r="J18" s="64"/>
      <c r="K18" s="64"/>
      <c r="L18" s="45"/>
      <c r="M18" s="45"/>
      <c r="N18" s="45"/>
      <c r="O18" s="45"/>
      <c r="P18" s="45"/>
      <c r="Q18" s="45"/>
      <c r="R18" s="45"/>
      <c r="S18" s="45"/>
      <c r="T18" s="45"/>
      <c r="U18" s="45"/>
      <c r="V18" s="45"/>
      <c r="W18" s="45"/>
      <c r="X18" s="45"/>
      <c r="Y18" s="45"/>
      <c r="Z18" s="45"/>
      <c r="AA18" s="45"/>
    </row>
    <row r="19" customFormat="false" ht="14.25" hidden="false" customHeight="true" outlineLevel="0" collapsed="false">
      <c r="A19" s="113"/>
      <c r="B19" s="94" t="s">
        <v>117</v>
      </c>
      <c r="C19" s="94"/>
      <c r="D19" s="95"/>
      <c r="E19" s="95"/>
      <c r="F19" s="95"/>
      <c r="G19" s="95"/>
      <c r="H19" s="95"/>
      <c r="I19" s="95"/>
      <c r="J19" s="95"/>
      <c r="K19" s="95"/>
      <c r="L19" s="45"/>
      <c r="M19" s="45"/>
      <c r="N19" s="45"/>
      <c r="O19" s="45"/>
      <c r="P19" s="45"/>
      <c r="Q19" s="45"/>
      <c r="R19" s="45"/>
      <c r="S19" s="45"/>
      <c r="T19" s="45"/>
      <c r="U19" s="45"/>
      <c r="V19" s="45"/>
      <c r="W19" s="45"/>
      <c r="X19" s="45"/>
      <c r="Y19" s="45"/>
      <c r="Z19" s="45"/>
      <c r="AA19" s="45"/>
    </row>
    <row r="20" customFormat="false" ht="14.25" hidden="false" customHeight="true" outlineLevel="0" collapsed="false">
      <c r="A20" s="76" t="n">
        <v>9</v>
      </c>
      <c r="B20" s="77" t="s">
        <v>118</v>
      </c>
      <c r="C20" s="77" t="s">
        <v>119</v>
      </c>
      <c r="D20" s="64" t="n">
        <v>40</v>
      </c>
      <c r="E20" s="64" t="n">
        <v>10000</v>
      </c>
      <c r="F20" s="64" t="n">
        <v>400000</v>
      </c>
      <c r="G20" s="77" t="s">
        <v>120</v>
      </c>
      <c r="H20" s="64"/>
      <c r="I20" s="64"/>
      <c r="J20" s="64"/>
      <c r="K20" s="64"/>
      <c r="L20" s="45"/>
      <c r="M20" s="45"/>
      <c r="N20" s="45"/>
      <c r="O20" s="45"/>
      <c r="P20" s="45"/>
      <c r="Q20" s="45"/>
      <c r="R20" s="45"/>
      <c r="S20" s="45"/>
      <c r="T20" s="45"/>
      <c r="U20" s="45"/>
      <c r="V20" s="45"/>
      <c r="W20" s="45"/>
      <c r="X20" s="45"/>
      <c r="Y20" s="45"/>
      <c r="Z20" s="45"/>
      <c r="AA20" s="45"/>
    </row>
    <row r="21" customFormat="false" ht="14.25" hidden="false" customHeight="true" outlineLevel="0" collapsed="false">
      <c r="A21" s="76" t="n">
        <f aca="false">A20+1</f>
        <v>10</v>
      </c>
      <c r="B21" s="77" t="s">
        <v>121</v>
      </c>
      <c r="C21" s="77" t="s">
        <v>122</v>
      </c>
      <c r="D21" s="64" t="n">
        <v>15</v>
      </c>
      <c r="E21" s="64" t="n">
        <v>5000</v>
      </c>
      <c r="F21" s="64" t="n">
        <v>75000</v>
      </c>
      <c r="G21" s="77" t="s">
        <v>120</v>
      </c>
      <c r="H21" s="64"/>
      <c r="I21" s="64"/>
      <c r="J21" s="64"/>
      <c r="K21" s="64"/>
      <c r="L21" s="45"/>
      <c r="M21" s="45"/>
      <c r="N21" s="45"/>
      <c r="O21" s="45"/>
      <c r="P21" s="45"/>
      <c r="Q21" s="45"/>
      <c r="R21" s="45"/>
      <c r="S21" s="45"/>
      <c r="T21" s="45"/>
      <c r="U21" s="45"/>
      <c r="V21" s="45"/>
      <c r="W21" s="45"/>
      <c r="X21" s="45"/>
      <c r="Y21" s="45"/>
      <c r="Z21" s="45"/>
      <c r="AA21" s="45"/>
    </row>
    <row r="22" customFormat="false" ht="14.25" hidden="false" customHeight="true" outlineLevel="0" collapsed="false">
      <c r="A22" s="76" t="n">
        <f aca="false">A21+1</f>
        <v>11</v>
      </c>
      <c r="B22" s="77" t="s">
        <v>66</v>
      </c>
      <c r="C22" s="77" t="s">
        <v>123</v>
      </c>
      <c r="D22" s="64" t="n">
        <v>20</v>
      </c>
      <c r="E22" s="64" t="n">
        <v>5000</v>
      </c>
      <c r="F22" s="64" t="n">
        <v>100000</v>
      </c>
      <c r="G22" s="77" t="s">
        <v>120</v>
      </c>
      <c r="H22" s="71"/>
      <c r="I22" s="73"/>
      <c r="J22" s="64"/>
      <c r="K22" s="64"/>
      <c r="L22" s="45"/>
      <c r="M22" s="45"/>
      <c r="N22" s="45"/>
      <c r="O22" s="45"/>
      <c r="P22" s="45"/>
      <c r="Q22" s="45"/>
      <c r="R22" s="45"/>
      <c r="S22" s="45"/>
      <c r="T22" s="45"/>
      <c r="U22" s="45"/>
      <c r="V22" s="45"/>
      <c r="W22" s="45"/>
      <c r="X22" s="45"/>
      <c r="Y22" s="45"/>
      <c r="Z22" s="45"/>
      <c r="AA22" s="45"/>
    </row>
    <row r="23" customFormat="false" ht="14.25" hidden="false" customHeight="true" outlineLevel="0" collapsed="false">
      <c r="A23" s="76" t="n">
        <f aca="false">A22+1</f>
        <v>12</v>
      </c>
      <c r="B23" s="77" t="s">
        <v>124</v>
      </c>
      <c r="C23" s="77" t="s">
        <v>125</v>
      </c>
      <c r="D23" s="64" t="n">
        <v>40</v>
      </c>
      <c r="E23" s="64" t="n">
        <v>10000</v>
      </c>
      <c r="F23" s="64" t="n">
        <v>400000</v>
      </c>
      <c r="G23" s="77" t="s">
        <v>126</v>
      </c>
      <c r="H23" s="71"/>
      <c r="I23" s="73"/>
      <c r="J23" s="64"/>
      <c r="K23" s="64"/>
      <c r="L23" s="45"/>
      <c r="M23" s="45"/>
      <c r="N23" s="45"/>
      <c r="O23" s="45"/>
      <c r="P23" s="45"/>
      <c r="Q23" s="45"/>
      <c r="R23" s="45"/>
      <c r="S23" s="45"/>
      <c r="T23" s="45"/>
      <c r="U23" s="45"/>
      <c r="V23" s="45"/>
      <c r="W23" s="45"/>
      <c r="X23" s="45"/>
      <c r="Y23" s="45"/>
      <c r="Z23" s="45"/>
      <c r="AA23" s="45"/>
    </row>
    <row r="24" customFormat="false" ht="14.25" hidden="false" customHeight="true" outlineLevel="0" collapsed="false">
      <c r="A24" s="76" t="n">
        <f aca="false">A23+1</f>
        <v>13</v>
      </c>
      <c r="B24" s="77" t="s">
        <v>127</v>
      </c>
      <c r="C24" s="77" t="s">
        <v>128</v>
      </c>
      <c r="D24" s="64" t="n">
        <v>40</v>
      </c>
      <c r="E24" s="64" t="n">
        <v>5000</v>
      </c>
      <c r="F24" s="64" t="n">
        <v>200000</v>
      </c>
      <c r="G24" s="77" t="s">
        <v>126</v>
      </c>
      <c r="H24" s="71"/>
      <c r="I24" s="73"/>
      <c r="J24" s="64"/>
      <c r="K24" s="64"/>
      <c r="L24" s="45"/>
      <c r="M24" s="45"/>
      <c r="N24" s="45"/>
      <c r="O24" s="45"/>
      <c r="P24" s="45"/>
      <c r="Q24" s="45"/>
      <c r="R24" s="45"/>
      <c r="S24" s="45"/>
      <c r="T24" s="45"/>
      <c r="U24" s="45"/>
      <c r="V24" s="45"/>
      <c r="W24" s="45"/>
      <c r="X24" s="45"/>
      <c r="Y24" s="45"/>
      <c r="Z24" s="45"/>
      <c r="AA24" s="45"/>
    </row>
    <row r="25" customFormat="false" ht="14.25" hidden="false" customHeight="true" outlineLevel="0" collapsed="false">
      <c r="A25" s="76" t="n">
        <f aca="false">A24+1</f>
        <v>14</v>
      </c>
      <c r="B25" s="77" t="s">
        <v>129</v>
      </c>
      <c r="C25" s="77" t="s">
        <v>130</v>
      </c>
      <c r="D25" s="64"/>
      <c r="E25" s="64"/>
      <c r="F25" s="64" t="n">
        <v>400000</v>
      </c>
      <c r="G25" s="77" t="s">
        <v>131</v>
      </c>
      <c r="H25" s="64"/>
      <c r="I25" s="64"/>
      <c r="J25" s="64"/>
      <c r="K25" s="64"/>
      <c r="L25" s="45"/>
      <c r="M25" s="45"/>
      <c r="N25" s="45"/>
      <c r="O25" s="45"/>
      <c r="P25" s="45"/>
      <c r="Q25" s="45"/>
      <c r="R25" s="45"/>
      <c r="S25" s="45"/>
      <c r="T25" s="45"/>
      <c r="U25" s="45"/>
      <c r="V25" s="45"/>
      <c r="W25" s="45"/>
      <c r="X25" s="45"/>
      <c r="Y25" s="45"/>
      <c r="Z25" s="45"/>
      <c r="AA25" s="45"/>
    </row>
    <row r="26" customFormat="false" ht="14.25" hidden="false" customHeight="true" outlineLevel="0" collapsed="false">
      <c r="A26" s="76" t="n">
        <f aca="false">A25+1</f>
        <v>15</v>
      </c>
      <c r="B26" s="77" t="s">
        <v>132</v>
      </c>
      <c r="C26" s="77" t="s">
        <v>133</v>
      </c>
      <c r="D26" s="64"/>
      <c r="E26" s="64"/>
      <c r="F26" s="64" t="n">
        <v>200000</v>
      </c>
      <c r="G26" s="77" t="s">
        <v>134</v>
      </c>
      <c r="H26" s="71"/>
      <c r="I26" s="73"/>
      <c r="J26" s="64"/>
      <c r="K26" s="64"/>
      <c r="L26" s="45"/>
      <c r="M26" s="45"/>
      <c r="N26" s="45"/>
      <c r="O26" s="45"/>
      <c r="P26" s="45"/>
      <c r="Q26" s="45"/>
      <c r="R26" s="45"/>
      <c r="S26" s="45"/>
      <c r="T26" s="45"/>
      <c r="U26" s="45"/>
      <c r="V26" s="45"/>
      <c r="W26" s="45"/>
      <c r="X26" s="45"/>
      <c r="Y26" s="45"/>
      <c r="Z26" s="45"/>
      <c r="AA26" s="45"/>
    </row>
    <row r="27" customFormat="false" ht="14.25" hidden="false" customHeight="true" outlineLevel="0" collapsed="false">
      <c r="A27" s="76" t="n">
        <f aca="false">A26+1</f>
        <v>16</v>
      </c>
      <c r="B27" s="77" t="s">
        <v>135</v>
      </c>
      <c r="C27" s="77" t="s">
        <v>136</v>
      </c>
      <c r="D27" s="64"/>
      <c r="E27" s="64"/>
      <c r="F27" s="64" t="n">
        <v>200000</v>
      </c>
      <c r="G27" s="77" t="s">
        <v>137</v>
      </c>
      <c r="H27" s="71"/>
      <c r="I27" s="73"/>
      <c r="J27" s="64"/>
      <c r="K27" s="64"/>
      <c r="L27" s="45"/>
      <c r="M27" s="45"/>
      <c r="N27" s="45"/>
      <c r="O27" s="45"/>
      <c r="P27" s="45"/>
      <c r="Q27" s="45"/>
      <c r="R27" s="45"/>
      <c r="S27" s="45"/>
      <c r="T27" s="45"/>
      <c r="U27" s="45"/>
      <c r="V27" s="45"/>
      <c r="W27" s="45"/>
      <c r="X27" s="45"/>
      <c r="Y27" s="45"/>
      <c r="Z27" s="45"/>
      <c r="AA27" s="45"/>
    </row>
    <row r="28" customFormat="false" ht="14.25" hidden="false" customHeight="true" outlineLevel="0" collapsed="false">
      <c r="A28" s="97" t="n">
        <v>40</v>
      </c>
      <c r="B28" s="98" t="s">
        <v>138</v>
      </c>
      <c r="C28" s="98"/>
      <c r="D28" s="105" t="n">
        <v>40</v>
      </c>
      <c r="E28" s="105" t="n">
        <v>7000</v>
      </c>
      <c r="F28" s="105" t="n">
        <f aca="false">D28*E28</f>
        <v>280000</v>
      </c>
      <c r="G28" s="114" t="s">
        <v>139</v>
      </c>
      <c r="H28" s="108"/>
      <c r="I28" s="109"/>
      <c r="J28" s="99"/>
      <c r="K28" s="99"/>
      <c r="L28" s="100"/>
      <c r="M28" s="100"/>
      <c r="N28" s="100"/>
      <c r="O28" s="100"/>
      <c r="P28" s="100"/>
      <c r="Q28" s="100"/>
      <c r="R28" s="100"/>
      <c r="S28" s="100"/>
      <c r="T28" s="100"/>
      <c r="U28" s="100"/>
      <c r="V28" s="100"/>
      <c r="W28" s="100"/>
      <c r="X28" s="100"/>
      <c r="Y28" s="100"/>
      <c r="Z28" s="100"/>
      <c r="AA28" s="100"/>
    </row>
    <row r="29" customFormat="false" ht="14.25" hidden="false" customHeight="true" outlineLevel="0" collapsed="false">
      <c r="A29" s="97" t="n">
        <v>16</v>
      </c>
      <c r="B29" s="98" t="s">
        <v>140</v>
      </c>
      <c r="C29" s="98"/>
      <c r="D29" s="105" t="n">
        <v>40</v>
      </c>
      <c r="E29" s="105" t="n">
        <v>4500</v>
      </c>
      <c r="F29" s="105" t="n">
        <f aca="false">D29*E29</f>
        <v>180000</v>
      </c>
      <c r="G29" s="114" t="s">
        <v>141</v>
      </c>
      <c r="H29" s="108"/>
      <c r="I29" s="109"/>
      <c r="J29" s="99"/>
      <c r="K29" s="99"/>
      <c r="L29" s="100"/>
      <c r="M29" s="100"/>
      <c r="N29" s="100"/>
      <c r="O29" s="100"/>
      <c r="P29" s="100"/>
      <c r="Q29" s="100"/>
      <c r="R29" s="100"/>
      <c r="S29" s="100"/>
      <c r="T29" s="100"/>
      <c r="U29" s="100"/>
      <c r="V29" s="100"/>
      <c r="W29" s="100"/>
      <c r="X29" s="100"/>
      <c r="Y29" s="100"/>
      <c r="Z29" s="100"/>
      <c r="AA29" s="100"/>
    </row>
    <row r="30" customFormat="false" ht="14.25" hidden="false" customHeight="true" outlineLevel="0" collapsed="false">
      <c r="A30" s="97" t="n">
        <v>17</v>
      </c>
      <c r="B30" s="98" t="s">
        <v>142</v>
      </c>
      <c r="C30" s="98"/>
      <c r="D30" s="105" t="n">
        <v>6</v>
      </c>
      <c r="E30" s="105" t="n">
        <v>25000</v>
      </c>
      <c r="F30" s="105" t="n">
        <f aca="false">D30*E30</f>
        <v>150000</v>
      </c>
      <c r="G30" s="114" t="s">
        <v>143</v>
      </c>
      <c r="H30" s="99"/>
      <c r="I30" s="99"/>
      <c r="J30" s="99"/>
      <c r="K30" s="99"/>
      <c r="L30" s="100"/>
      <c r="M30" s="100"/>
      <c r="N30" s="100"/>
      <c r="O30" s="100"/>
      <c r="P30" s="100"/>
      <c r="Q30" s="100"/>
      <c r="R30" s="100"/>
      <c r="S30" s="100"/>
      <c r="T30" s="100"/>
      <c r="U30" s="100"/>
      <c r="V30" s="100"/>
      <c r="W30" s="100"/>
      <c r="X30" s="100"/>
      <c r="Y30" s="100"/>
      <c r="Z30" s="100"/>
      <c r="AA30" s="100"/>
    </row>
    <row r="31" customFormat="false" ht="14.25" hidden="false" customHeight="true" outlineLevel="0" collapsed="false">
      <c r="A31" s="113"/>
      <c r="B31" s="94" t="s">
        <v>144</v>
      </c>
      <c r="C31" s="94"/>
      <c r="D31" s="95"/>
      <c r="E31" s="95"/>
      <c r="F31" s="95"/>
      <c r="G31" s="95"/>
      <c r="H31" s="95"/>
      <c r="I31" s="95"/>
      <c r="J31" s="95"/>
      <c r="K31" s="95"/>
      <c r="L31" s="45"/>
      <c r="M31" s="45"/>
      <c r="N31" s="45"/>
      <c r="O31" s="45"/>
      <c r="P31" s="45"/>
      <c r="Q31" s="45"/>
      <c r="R31" s="45"/>
      <c r="S31" s="45"/>
      <c r="T31" s="45"/>
      <c r="U31" s="45"/>
      <c r="V31" s="45"/>
      <c r="W31" s="45"/>
      <c r="X31" s="45"/>
      <c r="Y31" s="45"/>
      <c r="Z31" s="45"/>
      <c r="AA31" s="45"/>
    </row>
    <row r="32" customFormat="false" ht="14.25" hidden="false" customHeight="true" outlineLevel="0" collapsed="false">
      <c r="A32" s="76" t="n">
        <f aca="false">A27+1</f>
        <v>17</v>
      </c>
      <c r="B32" s="77" t="s">
        <v>145</v>
      </c>
      <c r="C32" s="77" t="s">
        <v>146</v>
      </c>
      <c r="D32" s="64"/>
      <c r="E32" s="64"/>
      <c r="F32" s="105" t="n">
        <v>2261000</v>
      </c>
      <c r="G32" s="64"/>
      <c r="H32" s="64"/>
      <c r="I32" s="64"/>
      <c r="J32" s="64"/>
      <c r="K32" s="64"/>
      <c r="L32" s="45"/>
      <c r="M32" s="45"/>
      <c r="N32" s="45"/>
      <c r="O32" s="45"/>
      <c r="P32" s="45"/>
      <c r="Q32" s="45"/>
      <c r="R32" s="45"/>
      <c r="S32" s="45"/>
      <c r="T32" s="45"/>
      <c r="U32" s="45"/>
      <c r="V32" s="45"/>
      <c r="W32" s="45"/>
      <c r="X32" s="45"/>
      <c r="Y32" s="45"/>
      <c r="Z32" s="45"/>
      <c r="AA32" s="45"/>
    </row>
    <row r="33" customFormat="false" ht="14.25" hidden="false" customHeight="true" outlineLevel="0" collapsed="false">
      <c r="A33" s="76"/>
      <c r="B33" s="75" t="s">
        <v>147</v>
      </c>
      <c r="C33" s="69"/>
      <c r="D33" s="64"/>
      <c r="E33" s="64"/>
      <c r="F33" s="64"/>
      <c r="G33" s="64"/>
      <c r="H33" s="71"/>
      <c r="I33" s="73"/>
      <c r="J33" s="64"/>
      <c r="K33" s="64"/>
      <c r="L33" s="45"/>
      <c r="M33" s="45"/>
      <c r="N33" s="45"/>
      <c r="O33" s="45"/>
      <c r="P33" s="45"/>
      <c r="Q33" s="45"/>
      <c r="R33" s="45"/>
      <c r="S33" s="45"/>
      <c r="T33" s="45"/>
      <c r="U33" s="45"/>
      <c r="V33" s="45"/>
      <c r="W33" s="45"/>
      <c r="X33" s="45"/>
      <c r="Y33" s="45"/>
      <c r="Z33" s="45"/>
      <c r="AA33" s="45"/>
    </row>
    <row r="34" customFormat="false" ht="84" hidden="false" customHeight="true" outlineLevel="0" collapsed="false">
      <c r="A34" s="76" t="n">
        <f aca="false">A32+1</f>
        <v>18</v>
      </c>
      <c r="B34" s="77" t="s">
        <v>148</v>
      </c>
      <c r="C34" s="77" t="s">
        <v>149</v>
      </c>
      <c r="D34" s="64"/>
      <c r="E34" s="64"/>
      <c r="F34" s="64" t="n">
        <v>4200000</v>
      </c>
      <c r="G34" s="77" t="s">
        <v>150</v>
      </c>
      <c r="H34" s="64"/>
      <c r="I34" s="64"/>
      <c r="J34" s="64"/>
      <c r="K34" s="64"/>
      <c r="L34" s="45"/>
      <c r="M34" s="45"/>
      <c r="N34" s="45"/>
      <c r="O34" s="45"/>
      <c r="P34" s="45"/>
      <c r="Q34" s="45"/>
      <c r="R34" s="45"/>
      <c r="S34" s="45"/>
      <c r="T34" s="45"/>
      <c r="U34" s="45"/>
      <c r="V34" s="45"/>
      <c r="W34" s="45"/>
      <c r="X34" s="45"/>
      <c r="Y34" s="45"/>
      <c r="Z34" s="45"/>
      <c r="AA34" s="45"/>
    </row>
    <row r="35" customFormat="false" ht="14.25" hidden="false" customHeight="true" outlineLevel="0" collapsed="false">
      <c r="A35" s="76" t="n">
        <f aca="false">A34+1</f>
        <v>19</v>
      </c>
      <c r="B35" s="77" t="s">
        <v>151</v>
      </c>
      <c r="C35" s="77" t="s">
        <v>152</v>
      </c>
      <c r="D35" s="64"/>
      <c r="E35" s="64"/>
      <c r="F35" s="64" t="n">
        <v>4200000</v>
      </c>
      <c r="G35" s="77" t="s">
        <v>150</v>
      </c>
      <c r="H35" s="64"/>
      <c r="I35" s="64"/>
      <c r="J35" s="64"/>
      <c r="K35" s="64"/>
      <c r="L35" s="45"/>
      <c r="M35" s="45"/>
      <c r="N35" s="45"/>
      <c r="O35" s="45"/>
      <c r="P35" s="45"/>
      <c r="Q35" s="45"/>
      <c r="R35" s="45"/>
      <c r="S35" s="45"/>
      <c r="T35" s="45"/>
      <c r="U35" s="45"/>
      <c r="V35" s="45"/>
      <c r="W35" s="45"/>
      <c r="X35" s="45"/>
      <c r="Y35" s="45"/>
      <c r="Z35" s="45"/>
      <c r="AA35" s="45"/>
    </row>
    <row r="36" customFormat="false" ht="14.25" hidden="false" customHeight="true" outlineLevel="0" collapsed="false">
      <c r="A36" s="76" t="n">
        <f aca="false">A35+1</f>
        <v>20</v>
      </c>
      <c r="B36" s="77" t="s">
        <v>153</v>
      </c>
      <c r="C36" s="77" t="s">
        <v>154</v>
      </c>
      <c r="D36" s="64"/>
      <c r="E36" s="64"/>
      <c r="F36" s="64" t="n">
        <v>100000</v>
      </c>
      <c r="G36" s="64"/>
      <c r="H36" s="64"/>
      <c r="I36" s="64"/>
      <c r="J36" s="64"/>
      <c r="K36" s="64"/>
      <c r="L36" s="45"/>
      <c r="M36" s="45"/>
      <c r="N36" s="45"/>
      <c r="O36" s="45"/>
      <c r="P36" s="45"/>
      <c r="Q36" s="45"/>
      <c r="R36" s="45"/>
      <c r="S36" s="45"/>
      <c r="T36" s="45"/>
      <c r="U36" s="45"/>
      <c r="V36" s="45"/>
      <c r="W36" s="45"/>
      <c r="X36" s="45"/>
      <c r="Y36" s="45"/>
      <c r="Z36" s="45"/>
      <c r="AA36" s="45"/>
    </row>
    <row r="37" customFormat="false" ht="14.25" hidden="false" customHeight="true" outlineLevel="0" collapsed="false">
      <c r="A37" s="76" t="n">
        <f aca="false">A36+1</f>
        <v>21</v>
      </c>
      <c r="B37" s="77" t="s">
        <v>155</v>
      </c>
      <c r="C37" s="77" t="s">
        <v>156</v>
      </c>
      <c r="D37" s="64" t="n">
        <v>500</v>
      </c>
      <c r="E37" s="64" t="n">
        <v>2000</v>
      </c>
      <c r="F37" s="64" t="n">
        <v>1000000</v>
      </c>
      <c r="G37" s="77" t="s">
        <v>157</v>
      </c>
      <c r="H37" s="64"/>
      <c r="I37" s="64"/>
      <c r="J37" s="64"/>
      <c r="K37" s="64"/>
      <c r="L37" s="45"/>
      <c r="M37" s="45"/>
      <c r="N37" s="45"/>
      <c r="O37" s="45"/>
      <c r="P37" s="45"/>
      <c r="Q37" s="45"/>
      <c r="R37" s="45"/>
      <c r="S37" s="45"/>
      <c r="T37" s="45"/>
      <c r="U37" s="45"/>
      <c r="V37" s="45"/>
      <c r="W37" s="45"/>
      <c r="X37" s="45"/>
      <c r="Y37" s="45"/>
      <c r="Z37" s="45"/>
      <c r="AA37" s="45"/>
    </row>
    <row r="38" customFormat="false" ht="14.25" hidden="false" customHeight="true" outlineLevel="0" collapsed="false">
      <c r="A38" s="76"/>
      <c r="B38" s="75" t="s">
        <v>158</v>
      </c>
      <c r="C38" s="77"/>
      <c r="D38" s="64"/>
      <c r="E38" s="64"/>
      <c r="F38" s="64"/>
      <c r="G38" s="64"/>
      <c r="H38" s="71"/>
      <c r="I38" s="73"/>
      <c r="J38" s="64"/>
      <c r="K38" s="64"/>
      <c r="L38" s="45"/>
      <c r="M38" s="45"/>
      <c r="N38" s="45"/>
      <c r="O38" s="45"/>
      <c r="P38" s="45"/>
      <c r="Q38" s="45"/>
      <c r="R38" s="45"/>
      <c r="S38" s="45"/>
      <c r="T38" s="45"/>
      <c r="U38" s="45"/>
      <c r="V38" s="45"/>
      <c r="W38" s="45"/>
      <c r="X38" s="45"/>
      <c r="Y38" s="45"/>
      <c r="Z38" s="45"/>
      <c r="AA38" s="45"/>
    </row>
    <row r="39" customFormat="false" ht="14.25" hidden="false" customHeight="true" outlineLevel="0" collapsed="false">
      <c r="A39" s="76" t="n">
        <f aca="false">A37+1</f>
        <v>22</v>
      </c>
      <c r="B39" s="77" t="s">
        <v>159</v>
      </c>
      <c r="C39" s="77" t="s">
        <v>160</v>
      </c>
      <c r="D39" s="64"/>
      <c r="E39" s="64"/>
      <c r="F39" s="64" t="n">
        <v>50000</v>
      </c>
      <c r="G39" s="77" t="s">
        <v>161</v>
      </c>
      <c r="H39" s="64"/>
      <c r="I39" s="64"/>
      <c r="J39" s="64"/>
      <c r="K39" s="64"/>
      <c r="L39" s="45"/>
      <c r="M39" s="45"/>
      <c r="N39" s="45"/>
      <c r="O39" s="45"/>
      <c r="P39" s="45"/>
      <c r="Q39" s="45"/>
      <c r="R39" s="45"/>
      <c r="S39" s="45"/>
      <c r="T39" s="45"/>
      <c r="U39" s="45"/>
      <c r="V39" s="45"/>
      <c r="W39" s="45"/>
      <c r="X39" s="45"/>
      <c r="Y39" s="45"/>
      <c r="Z39" s="45"/>
      <c r="AA39" s="45"/>
    </row>
    <row r="40" customFormat="false" ht="14.25" hidden="false" customHeight="true" outlineLevel="0" collapsed="false">
      <c r="A40" s="76"/>
      <c r="B40" s="75" t="s">
        <v>162</v>
      </c>
      <c r="C40" s="77"/>
      <c r="D40" s="64"/>
      <c r="E40" s="64"/>
      <c r="F40" s="64"/>
      <c r="G40" s="64"/>
      <c r="H40" s="71"/>
      <c r="I40" s="73"/>
      <c r="J40" s="64"/>
      <c r="K40" s="64"/>
      <c r="L40" s="45"/>
      <c r="M40" s="45"/>
      <c r="N40" s="45"/>
      <c r="O40" s="45"/>
      <c r="P40" s="45"/>
      <c r="Q40" s="45"/>
      <c r="R40" s="45"/>
      <c r="S40" s="45"/>
      <c r="T40" s="45"/>
      <c r="U40" s="45"/>
      <c r="V40" s="45"/>
      <c r="W40" s="45"/>
      <c r="X40" s="45"/>
      <c r="Y40" s="45"/>
      <c r="Z40" s="45"/>
      <c r="AA40" s="45"/>
    </row>
    <row r="41" customFormat="false" ht="14.25" hidden="false" customHeight="true" outlineLevel="0" collapsed="false">
      <c r="A41" s="97" t="n">
        <f aca="false">A39+1</f>
        <v>23</v>
      </c>
      <c r="B41" s="98" t="s">
        <v>163</v>
      </c>
      <c r="C41" s="98" t="s">
        <v>164</v>
      </c>
      <c r="D41" s="99" t="n">
        <v>2</v>
      </c>
      <c r="E41" s="99" t="n">
        <v>50000</v>
      </c>
      <c r="F41" s="99" t="n">
        <v>100000</v>
      </c>
      <c r="G41" s="98" t="s">
        <v>165</v>
      </c>
      <c r="H41" s="99"/>
      <c r="I41" s="99"/>
      <c r="J41" s="99"/>
      <c r="K41" s="99"/>
      <c r="L41" s="100"/>
      <c r="M41" s="100"/>
      <c r="N41" s="100"/>
      <c r="O41" s="100"/>
      <c r="P41" s="100"/>
      <c r="Q41" s="100"/>
      <c r="R41" s="100"/>
      <c r="S41" s="100"/>
      <c r="T41" s="100"/>
      <c r="U41" s="100"/>
      <c r="V41" s="100"/>
      <c r="W41" s="100"/>
      <c r="X41" s="100"/>
      <c r="Y41" s="100"/>
      <c r="Z41" s="100"/>
      <c r="AA41" s="100"/>
    </row>
    <row r="42" customFormat="false" ht="14.25" hidden="false" customHeight="true" outlineLevel="0" collapsed="false">
      <c r="A42" s="76"/>
      <c r="B42" s="75" t="s">
        <v>166</v>
      </c>
      <c r="C42" s="77"/>
      <c r="D42" s="64"/>
      <c r="E42" s="64"/>
      <c r="F42" s="64"/>
      <c r="G42" s="64"/>
      <c r="H42" s="71"/>
      <c r="I42" s="73"/>
      <c r="J42" s="64"/>
      <c r="K42" s="64"/>
      <c r="L42" s="45"/>
      <c r="M42" s="45"/>
      <c r="N42" s="45"/>
      <c r="O42" s="45"/>
      <c r="P42" s="45"/>
      <c r="Q42" s="45"/>
      <c r="R42" s="45"/>
      <c r="S42" s="45"/>
      <c r="T42" s="45"/>
      <c r="U42" s="45"/>
      <c r="V42" s="45"/>
      <c r="W42" s="45"/>
      <c r="X42" s="45"/>
      <c r="Y42" s="45"/>
      <c r="Z42" s="45"/>
      <c r="AA42" s="45"/>
    </row>
    <row r="43" customFormat="false" ht="25.5" hidden="false" customHeight="true" outlineLevel="0" collapsed="false">
      <c r="A43" s="76" t="n">
        <f aca="false">A41+1</f>
        <v>24</v>
      </c>
      <c r="B43" s="78" t="s">
        <v>167</v>
      </c>
      <c r="C43" s="78" t="s">
        <v>168</v>
      </c>
      <c r="D43" s="64"/>
      <c r="E43" s="64"/>
      <c r="F43" s="64"/>
      <c r="G43" s="64" t="s">
        <v>169</v>
      </c>
      <c r="H43" s="64"/>
      <c r="I43" s="64"/>
      <c r="J43" s="64"/>
      <c r="K43" s="64"/>
      <c r="L43" s="45"/>
      <c r="M43" s="45"/>
      <c r="N43" s="45"/>
      <c r="O43" s="45"/>
      <c r="P43" s="45"/>
      <c r="Q43" s="45"/>
      <c r="R43" s="45"/>
      <c r="S43" s="45"/>
      <c r="T43" s="45"/>
      <c r="U43" s="45"/>
      <c r="V43" s="45"/>
      <c r="W43" s="45"/>
      <c r="X43" s="45"/>
      <c r="Y43" s="45"/>
      <c r="Z43" s="45"/>
      <c r="AA43" s="45"/>
    </row>
    <row r="44" customFormat="false" ht="14.25" hidden="false" customHeight="true" outlineLevel="0" collapsed="false">
      <c r="A44" s="76"/>
      <c r="B44" s="75" t="s">
        <v>166</v>
      </c>
      <c r="C44" s="78"/>
      <c r="D44" s="64"/>
      <c r="E44" s="64"/>
      <c r="F44" s="64"/>
      <c r="G44" s="64"/>
      <c r="H44" s="71"/>
      <c r="I44" s="73"/>
      <c r="J44" s="64"/>
      <c r="K44" s="64"/>
      <c r="L44" s="45"/>
      <c r="M44" s="45"/>
      <c r="N44" s="45"/>
      <c r="O44" s="45"/>
      <c r="P44" s="45"/>
      <c r="Q44" s="45"/>
      <c r="R44" s="45"/>
      <c r="S44" s="45"/>
      <c r="T44" s="45"/>
      <c r="U44" s="45"/>
      <c r="V44" s="45"/>
      <c r="W44" s="45"/>
      <c r="X44" s="45"/>
      <c r="Y44" s="45"/>
      <c r="Z44" s="45"/>
      <c r="AA44" s="45"/>
    </row>
    <row r="45" customFormat="false" ht="14.25" hidden="false" customHeight="true" outlineLevel="0" collapsed="false">
      <c r="A45" s="115" t="n">
        <f aca="false">A43+1</f>
        <v>25</v>
      </c>
      <c r="B45" s="116" t="s">
        <v>170</v>
      </c>
      <c r="C45" s="116" t="s">
        <v>74</v>
      </c>
      <c r="D45" s="117"/>
      <c r="E45" s="117"/>
      <c r="F45" s="118" t="n">
        <f aca="false">'Revenue or Earnings'!E27</f>
        <v>450000</v>
      </c>
      <c r="G45" s="117"/>
      <c r="H45" s="119"/>
      <c r="I45" s="120"/>
      <c r="J45" s="117"/>
      <c r="K45" s="117"/>
      <c r="L45" s="121"/>
      <c r="M45" s="121"/>
      <c r="N45" s="121"/>
      <c r="O45" s="121"/>
      <c r="P45" s="121"/>
      <c r="Q45" s="121"/>
      <c r="R45" s="121"/>
      <c r="S45" s="121"/>
      <c r="T45" s="121"/>
      <c r="U45" s="121"/>
      <c r="V45" s="121"/>
      <c r="W45" s="121"/>
      <c r="X45" s="121"/>
      <c r="Y45" s="121"/>
      <c r="Z45" s="121"/>
      <c r="AA45" s="121"/>
    </row>
    <row r="46" customFormat="false" ht="86.25" hidden="false" customHeight="true" outlineLevel="0" collapsed="false">
      <c r="A46" s="76" t="n">
        <f aca="false">A45+1</f>
        <v>26</v>
      </c>
      <c r="B46" s="78" t="s">
        <v>171</v>
      </c>
      <c r="C46" s="78" t="s">
        <v>172</v>
      </c>
      <c r="D46" s="64"/>
      <c r="E46" s="64"/>
      <c r="F46" s="64" t="n">
        <v>1000000</v>
      </c>
      <c r="G46" s="77" t="s">
        <v>173</v>
      </c>
      <c r="H46" s="71"/>
      <c r="I46" s="73"/>
      <c r="J46" s="64"/>
      <c r="K46" s="64"/>
      <c r="L46" s="45"/>
      <c r="M46" s="45"/>
      <c r="N46" s="45"/>
      <c r="O46" s="45"/>
      <c r="P46" s="45"/>
      <c r="Q46" s="45"/>
      <c r="R46" s="45"/>
      <c r="S46" s="45"/>
      <c r="T46" s="45"/>
      <c r="U46" s="45"/>
      <c r="V46" s="45"/>
      <c r="W46" s="45"/>
      <c r="X46" s="45"/>
      <c r="Y46" s="45"/>
      <c r="Z46" s="45"/>
      <c r="AA46" s="45"/>
    </row>
    <row r="47" customFormat="false" ht="14.25" hidden="false" customHeight="true" outlineLevel="0" collapsed="false">
      <c r="A47" s="76" t="n">
        <v>25</v>
      </c>
      <c r="B47" s="122" t="s">
        <v>174</v>
      </c>
      <c r="C47" s="122"/>
      <c r="D47" s="64" t="n">
        <v>20</v>
      </c>
      <c r="E47" s="64" t="n">
        <v>10000</v>
      </c>
      <c r="F47" s="64" t="n">
        <v>200000</v>
      </c>
      <c r="G47" s="64"/>
      <c r="H47" s="64"/>
      <c r="I47" s="64"/>
      <c r="J47" s="64"/>
      <c r="K47" s="64"/>
      <c r="L47" s="45"/>
      <c r="M47" s="45"/>
      <c r="N47" s="45"/>
      <c r="O47" s="45"/>
      <c r="P47" s="45"/>
      <c r="Q47" s="45"/>
      <c r="R47" s="45"/>
      <c r="S47" s="45"/>
      <c r="T47" s="45"/>
      <c r="U47" s="45"/>
      <c r="V47" s="45"/>
      <c r="W47" s="45"/>
      <c r="X47" s="45"/>
      <c r="Y47" s="45"/>
      <c r="Z47" s="45"/>
      <c r="AA47" s="45"/>
    </row>
    <row r="48" customFormat="false" ht="14.25" hidden="false" customHeight="true" outlineLevel="0" collapsed="false">
      <c r="A48" s="76" t="n">
        <v>26</v>
      </c>
      <c r="B48" s="122" t="s">
        <v>175</v>
      </c>
      <c r="C48" s="122" t="s">
        <v>176</v>
      </c>
      <c r="D48" s="64" t="n">
        <v>15</v>
      </c>
      <c r="E48" s="64" t="n">
        <v>10000</v>
      </c>
      <c r="F48" s="64" t="n">
        <v>150000</v>
      </c>
      <c r="G48" s="64"/>
      <c r="H48" s="64"/>
      <c r="I48" s="64"/>
      <c r="J48" s="64"/>
      <c r="K48" s="64"/>
      <c r="L48" s="45"/>
      <c r="M48" s="45"/>
      <c r="N48" s="45"/>
      <c r="O48" s="45"/>
      <c r="P48" s="45"/>
      <c r="Q48" s="45"/>
      <c r="R48" s="45"/>
      <c r="S48" s="45"/>
      <c r="T48" s="45"/>
      <c r="U48" s="45"/>
      <c r="V48" s="45"/>
      <c r="W48" s="45"/>
      <c r="X48" s="45"/>
      <c r="Y48" s="45"/>
      <c r="Z48" s="45"/>
      <c r="AA48" s="45"/>
    </row>
    <row r="49" customFormat="false" ht="14.25" hidden="false" customHeight="true" outlineLevel="0" collapsed="false">
      <c r="A49" s="76" t="n">
        <v>27</v>
      </c>
      <c r="B49" s="77" t="s">
        <v>135</v>
      </c>
      <c r="C49" s="122"/>
      <c r="D49" s="64" t="n">
        <v>5</v>
      </c>
      <c r="E49" s="64" t="n">
        <v>30000</v>
      </c>
      <c r="F49" s="64" t="n">
        <f aca="false">(D49*E49)</f>
        <v>150000</v>
      </c>
      <c r="G49" s="64"/>
      <c r="H49" s="64"/>
      <c r="I49" s="64"/>
      <c r="J49" s="64"/>
      <c r="K49" s="64"/>
      <c r="L49" s="45"/>
      <c r="M49" s="45"/>
      <c r="N49" s="45"/>
      <c r="O49" s="45"/>
      <c r="P49" s="45"/>
      <c r="Q49" s="45"/>
      <c r="R49" s="45"/>
      <c r="S49" s="45"/>
      <c r="T49" s="45"/>
      <c r="U49" s="45"/>
      <c r="V49" s="45"/>
      <c r="W49" s="45"/>
      <c r="X49" s="45"/>
      <c r="Y49" s="45"/>
      <c r="Z49" s="45"/>
      <c r="AA49" s="45"/>
    </row>
    <row r="50" customFormat="false" ht="14.25" hidden="false" customHeight="true" outlineLevel="0" collapsed="false">
      <c r="A50" s="76" t="n">
        <f aca="false">A49+1</f>
        <v>28</v>
      </c>
      <c r="B50" s="77" t="s">
        <v>177</v>
      </c>
      <c r="C50" s="122" t="s">
        <v>178</v>
      </c>
      <c r="D50" s="64" t="n">
        <v>1</v>
      </c>
      <c r="E50" s="64"/>
      <c r="F50" s="64" t="n">
        <v>117700</v>
      </c>
      <c r="G50" s="64" t="s">
        <v>179</v>
      </c>
      <c r="H50" s="123"/>
      <c r="I50" s="123"/>
    </row>
    <row r="51" customFormat="false" ht="14.25" hidden="false" customHeight="true" outlineLevel="0" collapsed="false">
      <c r="A51" s="113"/>
      <c r="B51" s="94" t="s">
        <v>180</v>
      </c>
      <c r="C51" s="94"/>
      <c r="D51" s="95"/>
      <c r="E51" s="95"/>
      <c r="F51" s="95"/>
      <c r="G51" s="95"/>
      <c r="H51" s="95"/>
      <c r="I51" s="95"/>
      <c r="J51" s="95"/>
      <c r="K51" s="95"/>
      <c r="L51" s="45"/>
      <c r="M51" s="45"/>
      <c r="N51" s="45"/>
      <c r="O51" s="45"/>
      <c r="P51" s="45"/>
      <c r="Q51" s="45"/>
      <c r="R51" s="45"/>
      <c r="S51" s="45"/>
      <c r="T51" s="45"/>
      <c r="U51" s="45"/>
      <c r="V51" s="45"/>
      <c r="W51" s="45"/>
      <c r="X51" s="45"/>
      <c r="Y51" s="45"/>
      <c r="Z51" s="45"/>
      <c r="AA51" s="45"/>
    </row>
    <row r="52" customFormat="false" ht="14.25" hidden="false" customHeight="true" outlineLevel="0" collapsed="false">
      <c r="A52" s="76" t="n">
        <f aca="false">A50+1</f>
        <v>29</v>
      </c>
      <c r="B52" s="77" t="s">
        <v>181</v>
      </c>
      <c r="C52" s="77" t="s">
        <v>182</v>
      </c>
      <c r="D52" s="64"/>
      <c r="E52" s="64"/>
      <c r="F52" s="64" t="n">
        <v>200000</v>
      </c>
      <c r="G52" s="64" t="s">
        <v>183</v>
      </c>
      <c r="H52" s="64"/>
      <c r="I52" s="64"/>
      <c r="J52" s="64"/>
      <c r="K52" s="64"/>
      <c r="L52" s="45"/>
      <c r="M52" s="45"/>
      <c r="N52" s="45"/>
      <c r="O52" s="45"/>
      <c r="P52" s="45"/>
      <c r="Q52" s="45"/>
      <c r="R52" s="45"/>
      <c r="S52" s="45"/>
      <c r="T52" s="45"/>
      <c r="U52" s="45"/>
      <c r="V52" s="45"/>
      <c r="W52" s="45"/>
      <c r="X52" s="45"/>
      <c r="Y52" s="45"/>
      <c r="Z52" s="45"/>
      <c r="AA52" s="45"/>
    </row>
    <row r="53" customFormat="false" ht="14.25" hidden="false" customHeight="true" outlineLevel="0" collapsed="false">
      <c r="A53" s="76" t="n">
        <f aca="false">A52+1</f>
        <v>30</v>
      </c>
      <c r="B53" s="77" t="s">
        <v>184</v>
      </c>
      <c r="C53" s="77" t="s">
        <v>185</v>
      </c>
      <c r="D53" s="64"/>
      <c r="E53" s="64"/>
      <c r="F53" s="64" t="n">
        <v>10000</v>
      </c>
      <c r="G53" s="64"/>
      <c r="H53" s="64"/>
      <c r="I53" s="64"/>
      <c r="J53" s="64"/>
      <c r="K53" s="64"/>
      <c r="L53" s="45"/>
      <c r="M53" s="45"/>
      <c r="N53" s="45"/>
      <c r="O53" s="45"/>
      <c r="P53" s="45"/>
      <c r="Q53" s="45"/>
      <c r="R53" s="45"/>
      <c r="S53" s="45"/>
      <c r="T53" s="45"/>
      <c r="U53" s="45"/>
      <c r="V53" s="45"/>
      <c r="W53" s="45"/>
      <c r="X53" s="45"/>
      <c r="Y53" s="45"/>
      <c r="Z53" s="45"/>
      <c r="AA53" s="45"/>
    </row>
    <row r="54" customFormat="false" ht="14.25" hidden="false" customHeight="true" outlineLevel="0" collapsed="false">
      <c r="A54" s="76" t="n">
        <f aca="false">A53+1</f>
        <v>31</v>
      </c>
      <c r="B54" s="77" t="s">
        <v>186</v>
      </c>
      <c r="C54" s="77" t="s">
        <v>187</v>
      </c>
      <c r="D54" s="64"/>
      <c r="E54" s="64"/>
      <c r="F54" s="64" t="n">
        <v>100000</v>
      </c>
      <c r="G54" s="77" t="s">
        <v>188</v>
      </c>
      <c r="H54" s="64"/>
      <c r="I54" s="64"/>
      <c r="J54" s="64"/>
      <c r="K54" s="64"/>
      <c r="L54" s="45"/>
      <c r="M54" s="45"/>
      <c r="N54" s="45"/>
      <c r="O54" s="45"/>
      <c r="P54" s="45"/>
      <c r="Q54" s="45"/>
      <c r="R54" s="45"/>
      <c r="S54" s="45"/>
      <c r="T54" s="45"/>
      <c r="U54" s="45"/>
      <c r="V54" s="45"/>
      <c r="W54" s="45"/>
      <c r="X54" s="45"/>
      <c r="Y54" s="45"/>
      <c r="Z54" s="45"/>
      <c r="AA54" s="45"/>
    </row>
    <row r="55" customFormat="false" ht="14.25" hidden="false" customHeight="true" outlineLevel="0" collapsed="false">
      <c r="A55" s="76" t="n">
        <f aca="false">A54+1</f>
        <v>32</v>
      </c>
      <c r="B55" s="77" t="s">
        <v>189</v>
      </c>
      <c r="C55" s="77" t="s">
        <v>190</v>
      </c>
      <c r="D55" s="64"/>
      <c r="E55" s="64"/>
      <c r="F55" s="64" t="n">
        <v>100000</v>
      </c>
      <c r="G55" s="77" t="s">
        <v>191</v>
      </c>
      <c r="H55" s="64"/>
      <c r="I55" s="64"/>
      <c r="J55" s="64"/>
      <c r="K55" s="64"/>
      <c r="L55" s="45"/>
      <c r="M55" s="45"/>
      <c r="N55" s="45"/>
      <c r="O55" s="45"/>
      <c r="P55" s="45"/>
      <c r="Q55" s="45"/>
      <c r="R55" s="45"/>
      <c r="S55" s="45"/>
      <c r="T55" s="45"/>
      <c r="U55" s="45"/>
      <c r="V55" s="45"/>
      <c r="W55" s="45"/>
      <c r="X55" s="45"/>
      <c r="Y55" s="45"/>
      <c r="Z55" s="45"/>
      <c r="AA55" s="45"/>
    </row>
    <row r="56" customFormat="false" ht="14.25" hidden="false" customHeight="true" outlineLevel="0" collapsed="false">
      <c r="A56" s="76" t="n">
        <f aca="false">A55+1</f>
        <v>33</v>
      </c>
      <c r="B56" s="77" t="s">
        <v>192</v>
      </c>
      <c r="C56" s="77" t="s">
        <v>193</v>
      </c>
      <c r="D56" s="64"/>
      <c r="E56" s="64"/>
      <c r="F56" s="64" t="n">
        <v>100000</v>
      </c>
      <c r="G56" s="77" t="s">
        <v>194</v>
      </c>
      <c r="H56" s="64"/>
      <c r="I56" s="64"/>
      <c r="J56" s="64"/>
      <c r="K56" s="64"/>
      <c r="L56" s="45"/>
      <c r="M56" s="45"/>
      <c r="N56" s="45"/>
      <c r="O56" s="45"/>
      <c r="P56" s="45"/>
      <c r="Q56" s="45"/>
      <c r="R56" s="45"/>
      <c r="S56" s="45"/>
      <c r="T56" s="45"/>
      <c r="U56" s="45"/>
      <c r="V56" s="45"/>
      <c r="W56" s="45"/>
      <c r="X56" s="45"/>
      <c r="Y56" s="45"/>
      <c r="Z56" s="45"/>
      <c r="AA56" s="45"/>
    </row>
    <row r="57" customFormat="false" ht="14.25" hidden="false" customHeight="true" outlineLevel="0" collapsed="false">
      <c r="A57" s="97" t="n">
        <f aca="false">A56+1</f>
        <v>34</v>
      </c>
      <c r="B57" s="98" t="s">
        <v>195</v>
      </c>
      <c r="C57" s="98" t="s">
        <v>196</v>
      </c>
      <c r="D57" s="99"/>
      <c r="E57" s="99"/>
      <c r="F57" s="99"/>
      <c r="G57" s="99"/>
      <c r="H57" s="99"/>
      <c r="I57" s="20"/>
      <c r="J57" s="99"/>
      <c r="K57" s="99"/>
      <c r="L57" s="100"/>
      <c r="M57" s="100"/>
      <c r="N57" s="100"/>
      <c r="O57" s="100"/>
      <c r="P57" s="100"/>
      <c r="Q57" s="100"/>
      <c r="R57" s="100"/>
      <c r="S57" s="100"/>
      <c r="T57" s="100"/>
      <c r="U57" s="100"/>
      <c r="V57" s="100"/>
      <c r="W57" s="100"/>
      <c r="X57" s="100"/>
      <c r="Y57" s="100"/>
      <c r="Z57" s="100"/>
      <c r="AA57" s="100"/>
    </row>
    <row r="58" customFormat="false" ht="14.25" hidden="false" customHeight="true" outlineLevel="0" collapsed="false">
      <c r="A58" s="97"/>
      <c r="B58" s="124" t="s">
        <v>197</v>
      </c>
      <c r="C58" s="124" t="s">
        <v>198</v>
      </c>
      <c r="D58" s="99"/>
      <c r="E58" s="99"/>
      <c r="F58" s="99" t="n">
        <v>210000</v>
      </c>
      <c r="G58" s="98" t="s">
        <v>199</v>
      </c>
      <c r="H58" s="99"/>
      <c r="I58" s="99"/>
      <c r="J58" s="99"/>
      <c r="K58" s="99"/>
      <c r="L58" s="100"/>
      <c r="M58" s="100"/>
      <c r="N58" s="100"/>
      <c r="O58" s="100"/>
      <c r="P58" s="100"/>
      <c r="Q58" s="100"/>
      <c r="R58" s="100"/>
      <c r="S58" s="100"/>
      <c r="T58" s="100"/>
      <c r="U58" s="100"/>
      <c r="V58" s="100"/>
      <c r="W58" s="100"/>
      <c r="X58" s="100"/>
      <c r="Y58" s="100"/>
      <c r="Z58" s="100"/>
      <c r="AA58" s="100"/>
    </row>
    <row r="59" customFormat="false" ht="14.25" hidden="false" customHeight="true" outlineLevel="0" collapsed="false">
      <c r="A59" s="97" t="n">
        <f aca="false">A57+1</f>
        <v>35</v>
      </c>
      <c r="B59" s="98" t="s">
        <v>200</v>
      </c>
      <c r="C59" s="98" t="s">
        <v>201</v>
      </c>
      <c r="D59" s="99" t="n">
        <v>50</v>
      </c>
      <c r="E59" s="99" t="n">
        <v>500</v>
      </c>
      <c r="F59" s="99" t="n">
        <v>25000</v>
      </c>
      <c r="G59" s="99" t="s">
        <v>202</v>
      </c>
      <c r="H59" s="99"/>
      <c r="I59" s="99"/>
      <c r="J59" s="99"/>
      <c r="K59" s="99"/>
      <c r="L59" s="100"/>
      <c r="M59" s="100"/>
      <c r="N59" s="100"/>
      <c r="O59" s="100"/>
      <c r="P59" s="100"/>
      <c r="Q59" s="100"/>
      <c r="R59" s="100"/>
      <c r="S59" s="100"/>
      <c r="T59" s="100"/>
      <c r="U59" s="100"/>
      <c r="V59" s="100"/>
      <c r="W59" s="100"/>
      <c r="X59" s="100"/>
      <c r="Y59" s="100"/>
      <c r="Z59" s="100"/>
      <c r="AA59" s="100"/>
    </row>
    <row r="60" customFormat="false" ht="14.25" hidden="false" customHeight="true" outlineLevel="0" collapsed="false">
      <c r="A60" s="97"/>
      <c r="B60" s="98"/>
      <c r="C60" s="111"/>
      <c r="D60" s="105"/>
      <c r="E60" s="105"/>
      <c r="F60" s="105"/>
      <c r="G60" s="99"/>
      <c r="H60" s="99"/>
      <c r="I60" s="99"/>
      <c r="J60" s="99"/>
      <c r="K60" s="99"/>
      <c r="L60" s="100"/>
      <c r="M60" s="100"/>
      <c r="N60" s="100"/>
      <c r="O60" s="100"/>
      <c r="P60" s="100"/>
      <c r="Q60" s="100"/>
      <c r="R60" s="100"/>
      <c r="S60" s="100"/>
      <c r="T60" s="100"/>
      <c r="U60" s="100"/>
      <c r="V60" s="100"/>
      <c r="W60" s="100"/>
      <c r="X60" s="100"/>
      <c r="Y60" s="100"/>
      <c r="Z60" s="100"/>
      <c r="AA60" s="100"/>
    </row>
    <row r="61" customFormat="false" ht="14.25" hidden="false" customHeight="true" outlineLevel="0" collapsed="false">
      <c r="A61" s="113"/>
      <c r="B61" s="125" t="s">
        <v>61</v>
      </c>
      <c r="C61" s="125"/>
      <c r="D61" s="95"/>
      <c r="E61" s="95"/>
      <c r="F61" s="95"/>
      <c r="G61" s="95"/>
      <c r="H61" s="95"/>
      <c r="I61" s="95"/>
      <c r="J61" s="95"/>
      <c r="K61" s="95"/>
      <c r="L61" s="45"/>
      <c r="M61" s="45"/>
      <c r="N61" s="45"/>
      <c r="O61" s="45"/>
      <c r="P61" s="45"/>
      <c r="Q61" s="45"/>
      <c r="R61" s="45"/>
      <c r="S61" s="45"/>
      <c r="T61" s="45"/>
      <c r="U61" s="45"/>
      <c r="V61" s="45"/>
      <c r="W61" s="45"/>
      <c r="X61" s="45"/>
      <c r="Y61" s="45"/>
      <c r="Z61" s="45"/>
      <c r="AA61" s="45"/>
    </row>
    <row r="62" customFormat="false" ht="14.25" hidden="false" customHeight="true" outlineLevel="0" collapsed="false">
      <c r="A62" s="76" t="n">
        <f aca="false">A59+1</f>
        <v>36</v>
      </c>
      <c r="B62" s="77" t="s">
        <v>203</v>
      </c>
      <c r="C62" s="77" t="s">
        <v>204</v>
      </c>
      <c r="D62" s="64"/>
      <c r="E62" s="64"/>
      <c r="F62" s="64"/>
      <c r="G62" s="64"/>
      <c r="H62" s="64"/>
      <c r="I62" s="20"/>
      <c r="J62" s="64"/>
      <c r="K62" s="64"/>
      <c r="L62" s="45"/>
      <c r="M62" s="45"/>
      <c r="N62" s="45"/>
      <c r="O62" s="45"/>
      <c r="P62" s="45"/>
      <c r="Q62" s="45"/>
      <c r="R62" s="45"/>
      <c r="S62" s="45"/>
      <c r="T62" s="45"/>
      <c r="U62" s="45"/>
      <c r="V62" s="45"/>
      <c r="W62" s="45"/>
      <c r="X62" s="45"/>
      <c r="Y62" s="45"/>
      <c r="Z62" s="45"/>
      <c r="AA62" s="45"/>
    </row>
    <row r="63" customFormat="false" ht="14.25" hidden="false" customHeight="true" outlineLevel="0" collapsed="false">
      <c r="A63" s="76"/>
      <c r="B63" s="75" t="s">
        <v>205</v>
      </c>
      <c r="C63" s="77"/>
      <c r="D63" s="64"/>
      <c r="E63" s="64"/>
      <c r="F63" s="64"/>
      <c r="G63" s="64"/>
      <c r="H63" s="71"/>
      <c r="I63" s="73"/>
      <c r="J63" s="64"/>
      <c r="K63" s="64"/>
      <c r="L63" s="45"/>
      <c r="M63" s="45"/>
      <c r="N63" s="45"/>
      <c r="O63" s="45"/>
      <c r="P63" s="45"/>
      <c r="Q63" s="45"/>
      <c r="R63" s="45"/>
      <c r="S63" s="45"/>
      <c r="T63" s="45"/>
      <c r="U63" s="45"/>
      <c r="V63" s="45"/>
      <c r="W63" s="45"/>
      <c r="X63" s="45"/>
      <c r="Y63" s="45"/>
      <c r="Z63" s="45"/>
      <c r="AA63" s="45"/>
    </row>
    <row r="64" customFormat="false" ht="14.25" hidden="false" customHeight="true" outlineLevel="0" collapsed="false">
      <c r="A64" s="76" t="n">
        <f aca="false">A62+1</f>
        <v>37</v>
      </c>
      <c r="B64" s="77" t="s">
        <v>206</v>
      </c>
      <c r="C64" s="77" t="s">
        <v>207</v>
      </c>
      <c r="D64" s="64"/>
      <c r="E64" s="64"/>
      <c r="F64" s="64"/>
      <c r="G64" s="64"/>
      <c r="H64" s="64"/>
      <c r="I64" s="64"/>
      <c r="J64" s="64"/>
      <c r="K64" s="64"/>
      <c r="L64" s="45"/>
      <c r="M64" s="45"/>
      <c r="N64" s="45"/>
      <c r="O64" s="45"/>
      <c r="P64" s="45"/>
      <c r="Q64" s="45"/>
      <c r="R64" s="45"/>
      <c r="S64" s="45"/>
      <c r="T64" s="45"/>
      <c r="U64" s="45"/>
      <c r="V64" s="45"/>
      <c r="W64" s="45"/>
      <c r="X64" s="45"/>
      <c r="Y64" s="45"/>
      <c r="Z64" s="45"/>
      <c r="AA64" s="45"/>
    </row>
    <row r="65" customFormat="false" ht="14.25" hidden="false" customHeight="true" outlineLevel="0" collapsed="false">
      <c r="A65" s="76" t="n">
        <f aca="false">A64+1</f>
        <v>38</v>
      </c>
      <c r="B65" s="77" t="s">
        <v>208</v>
      </c>
      <c r="C65" s="77" t="s">
        <v>209</v>
      </c>
      <c r="D65" s="64"/>
      <c r="E65" s="64"/>
      <c r="F65" s="66" t="n">
        <f aca="false">'Revenue or Earnings'!E8</f>
        <v>2500000</v>
      </c>
      <c r="G65" s="64"/>
      <c r="H65" s="64"/>
      <c r="I65" s="20"/>
      <c r="J65" s="64"/>
      <c r="K65" s="64"/>
      <c r="L65" s="45"/>
      <c r="M65" s="45"/>
      <c r="N65" s="45"/>
      <c r="O65" s="45"/>
      <c r="P65" s="45"/>
      <c r="Q65" s="45"/>
      <c r="R65" s="45"/>
      <c r="S65" s="45"/>
      <c r="T65" s="45"/>
      <c r="U65" s="45"/>
      <c r="V65" s="45"/>
      <c r="W65" s="45"/>
      <c r="X65" s="45"/>
      <c r="Y65" s="45"/>
      <c r="Z65" s="45"/>
      <c r="AA65" s="45"/>
    </row>
    <row r="66" customFormat="false" ht="14.25" hidden="false" customHeight="true" outlineLevel="0" collapsed="false">
      <c r="A66" s="76" t="n">
        <f aca="false">A65+1</f>
        <v>39</v>
      </c>
      <c r="B66" s="64" t="s">
        <v>210</v>
      </c>
      <c r="C66" s="77" t="s">
        <v>211</v>
      </c>
      <c r="D66" s="64" t="n">
        <v>20</v>
      </c>
      <c r="E66" s="64" t="n">
        <v>200000</v>
      </c>
      <c r="F66" s="64" t="n">
        <v>4000000</v>
      </c>
      <c r="G66" s="64"/>
      <c r="H66" s="71"/>
      <c r="I66" s="73"/>
      <c r="J66" s="64"/>
      <c r="K66" s="64"/>
      <c r="L66" s="45"/>
      <c r="M66" s="45"/>
      <c r="N66" s="45"/>
      <c r="O66" s="45"/>
      <c r="P66" s="45"/>
      <c r="Q66" s="45"/>
      <c r="R66" s="45"/>
      <c r="S66" s="45"/>
      <c r="T66" s="45"/>
      <c r="U66" s="45"/>
      <c r="V66" s="45"/>
      <c r="W66" s="45"/>
      <c r="X66" s="45"/>
      <c r="Y66" s="45"/>
      <c r="Z66" s="45"/>
      <c r="AA66" s="45"/>
    </row>
    <row r="67" customFormat="false" ht="14.25" hidden="false" customHeight="true" outlineLevel="0" collapsed="false">
      <c r="A67" s="76" t="n">
        <f aca="false">A66+1</f>
        <v>40</v>
      </c>
      <c r="B67" s="64" t="s">
        <v>212</v>
      </c>
      <c r="C67" s="77" t="s">
        <v>213</v>
      </c>
      <c r="D67" s="64"/>
      <c r="E67" s="64"/>
      <c r="F67" s="64" t="n">
        <v>300000</v>
      </c>
      <c r="G67" s="77" t="s">
        <v>214</v>
      </c>
      <c r="H67" s="71"/>
      <c r="I67" s="73"/>
      <c r="J67" s="64"/>
      <c r="K67" s="64"/>
      <c r="L67" s="45"/>
      <c r="M67" s="45"/>
      <c r="N67" s="45"/>
      <c r="O67" s="45"/>
      <c r="P67" s="45"/>
      <c r="Q67" s="45"/>
      <c r="R67" s="45"/>
      <c r="S67" s="45"/>
      <c r="T67" s="45"/>
      <c r="U67" s="45"/>
      <c r="V67" s="45"/>
      <c r="W67" s="45"/>
      <c r="X67" s="45"/>
      <c r="Y67" s="45"/>
      <c r="Z67" s="45"/>
      <c r="AA67" s="45"/>
    </row>
    <row r="68" customFormat="false" ht="14.25" hidden="false" customHeight="true" outlineLevel="0" collapsed="false">
      <c r="A68" s="76"/>
      <c r="B68" s="75" t="s">
        <v>215</v>
      </c>
      <c r="C68" s="77"/>
      <c r="D68" s="64"/>
      <c r="E68" s="64"/>
      <c r="F68" s="64"/>
      <c r="G68" s="64"/>
      <c r="H68" s="71"/>
      <c r="I68" s="73"/>
      <c r="J68" s="64"/>
      <c r="K68" s="64"/>
      <c r="L68" s="45"/>
      <c r="M68" s="45"/>
      <c r="N68" s="45"/>
      <c r="O68" s="45"/>
      <c r="P68" s="45"/>
      <c r="Q68" s="45"/>
      <c r="R68" s="45"/>
      <c r="S68" s="45"/>
      <c r="T68" s="45"/>
      <c r="U68" s="45"/>
      <c r="V68" s="45"/>
      <c r="W68" s="45"/>
      <c r="X68" s="45"/>
      <c r="Y68" s="45"/>
      <c r="Z68" s="45"/>
      <c r="AA68" s="45"/>
    </row>
    <row r="69" customFormat="false" ht="14.25" hidden="false" customHeight="true" outlineLevel="0" collapsed="false">
      <c r="A69" s="76" t="n">
        <f aca="false">A67+1</f>
        <v>41</v>
      </c>
      <c r="B69" s="64" t="s">
        <v>216</v>
      </c>
      <c r="C69" s="77" t="s">
        <v>217</v>
      </c>
      <c r="D69" s="64" t="s">
        <v>218</v>
      </c>
      <c r="E69" s="64"/>
      <c r="F69" s="64" t="n">
        <v>500000</v>
      </c>
      <c r="G69" s="64"/>
      <c r="H69" s="71"/>
      <c r="I69" s="73"/>
      <c r="J69" s="64"/>
      <c r="K69" s="64"/>
      <c r="L69" s="45"/>
      <c r="M69" s="45"/>
      <c r="N69" s="45"/>
      <c r="O69" s="45"/>
      <c r="P69" s="45"/>
      <c r="Q69" s="45"/>
      <c r="R69" s="45"/>
      <c r="S69" s="45"/>
      <c r="T69" s="45"/>
      <c r="U69" s="45"/>
      <c r="V69" s="45"/>
      <c r="W69" s="45"/>
      <c r="X69" s="45"/>
      <c r="Y69" s="45"/>
      <c r="Z69" s="45"/>
      <c r="AA69" s="45"/>
    </row>
    <row r="70" customFormat="false" ht="14.25" hidden="false" customHeight="true" outlineLevel="0" collapsed="false">
      <c r="A70" s="76"/>
      <c r="B70" s="75" t="s">
        <v>219</v>
      </c>
      <c r="C70" s="77"/>
      <c r="D70" s="64"/>
      <c r="E70" s="64"/>
      <c r="F70" s="64"/>
      <c r="G70" s="64"/>
      <c r="H70" s="64"/>
      <c r="I70" s="64"/>
      <c r="J70" s="64"/>
      <c r="K70" s="64"/>
      <c r="L70" s="45"/>
      <c r="M70" s="45"/>
      <c r="N70" s="45"/>
      <c r="O70" s="45"/>
      <c r="P70" s="45"/>
      <c r="Q70" s="45"/>
      <c r="R70" s="45"/>
      <c r="S70" s="45"/>
      <c r="T70" s="45"/>
      <c r="U70" s="45"/>
      <c r="V70" s="45"/>
      <c r="W70" s="45"/>
      <c r="X70" s="45"/>
      <c r="Y70" s="45"/>
      <c r="Z70" s="45"/>
      <c r="AA70" s="45"/>
    </row>
    <row r="71" customFormat="false" ht="14.25" hidden="false" customHeight="true" outlineLevel="0" collapsed="false">
      <c r="A71" s="63"/>
      <c r="B71" s="63"/>
      <c r="C71" s="64"/>
      <c r="D71" s="64"/>
      <c r="E71" s="64"/>
      <c r="F71" s="64"/>
      <c r="G71" s="64"/>
      <c r="H71" s="64"/>
      <c r="I71" s="64"/>
      <c r="J71" s="64"/>
      <c r="K71" s="64"/>
      <c r="L71" s="45"/>
      <c r="M71" s="45"/>
      <c r="N71" s="45"/>
      <c r="O71" s="45"/>
      <c r="P71" s="45"/>
      <c r="Q71" s="45"/>
      <c r="R71" s="45"/>
      <c r="S71" s="45"/>
      <c r="T71" s="45"/>
      <c r="U71" s="45"/>
      <c r="V71" s="45"/>
      <c r="W71" s="45"/>
      <c r="X71" s="45"/>
      <c r="Y71" s="45"/>
      <c r="Z71" s="45"/>
      <c r="AA71" s="45"/>
    </row>
    <row r="72" customFormat="false" ht="14.25" hidden="false" customHeight="true" outlineLevel="0" collapsed="false">
      <c r="A72" s="51" t="s">
        <v>220</v>
      </c>
      <c r="B72" s="20"/>
      <c r="C72" s="73"/>
      <c r="D72" s="64"/>
      <c r="E72" s="66"/>
      <c r="F72" s="126" t="n">
        <f aca="false">SUM(F7:F70)</f>
        <v>31138700</v>
      </c>
      <c r="G72" s="64"/>
      <c r="H72" s="64"/>
      <c r="I72" s="20"/>
      <c r="J72" s="126" t="n">
        <f aca="false">SUM(J7:J70)</f>
        <v>22500</v>
      </c>
      <c r="K72" s="126" t="n">
        <f aca="false">SUM(K7:K70)</f>
        <v>0</v>
      </c>
      <c r="L72" s="45"/>
      <c r="M72" s="45"/>
      <c r="N72" s="45"/>
      <c r="O72" s="45"/>
      <c r="P72" s="45"/>
      <c r="Q72" s="45"/>
      <c r="R72" s="45"/>
      <c r="S72" s="45"/>
      <c r="T72" s="45"/>
      <c r="U72" s="45"/>
      <c r="V72" s="45"/>
      <c r="W72" s="45"/>
      <c r="X72" s="45"/>
      <c r="Y72" s="45"/>
      <c r="Z72" s="45"/>
      <c r="AA72" s="45"/>
    </row>
    <row r="73" customFormat="false" ht="14.25" hidden="false" customHeight="true" outlineLevel="0" collapsed="false">
      <c r="A73" s="81"/>
      <c r="B73" s="127"/>
      <c r="C73" s="127"/>
      <c r="D73" s="82"/>
      <c r="E73" s="128"/>
      <c r="F73" s="82"/>
      <c r="G73" s="82"/>
      <c r="H73" s="82"/>
      <c r="I73" s="82"/>
      <c r="J73" s="128"/>
      <c r="K73" s="129"/>
      <c r="L73" s="45"/>
      <c r="M73" s="45"/>
      <c r="N73" s="45"/>
      <c r="O73" s="45"/>
      <c r="P73" s="45"/>
      <c r="Q73" s="45"/>
      <c r="R73" s="45"/>
      <c r="S73" s="45"/>
      <c r="T73" s="45"/>
      <c r="U73" s="45"/>
      <c r="V73" s="45"/>
      <c r="W73" s="45"/>
      <c r="X73" s="45"/>
      <c r="Y73" s="45"/>
      <c r="Z73" s="45"/>
      <c r="AA73" s="45"/>
    </row>
    <row r="74" customFormat="false" ht="14.25" hidden="false" customHeight="true" outlineLevel="0" collapsed="false">
      <c r="A74" s="130"/>
      <c r="B74" s="90"/>
      <c r="C74" s="90"/>
      <c r="D74" s="45"/>
      <c r="E74" s="131"/>
      <c r="F74" s="45"/>
      <c r="G74" s="45"/>
      <c r="H74" s="45"/>
      <c r="I74" s="45"/>
      <c r="J74" s="131"/>
      <c r="K74" s="132"/>
      <c r="L74" s="45"/>
      <c r="M74" s="45"/>
      <c r="N74" s="45"/>
      <c r="O74" s="45"/>
      <c r="P74" s="45"/>
      <c r="Q74" s="45"/>
      <c r="R74" s="45"/>
      <c r="S74" s="45"/>
      <c r="T74" s="45"/>
      <c r="U74" s="45"/>
      <c r="V74" s="45"/>
      <c r="W74" s="45"/>
      <c r="X74" s="45"/>
      <c r="Y74" s="45"/>
      <c r="Z74" s="45"/>
      <c r="AA74" s="45"/>
    </row>
    <row r="75" customFormat="false" ht="14.25" hidden="false" customHeight="true" outlineLevel="0" collapsed="false">
      <c r="A75" s="47" t="s">
        <v>17</v>
      </c>
      <c r="B75" s="89"/>
      <c r="C75" s="60"/>
      <c r="D75" s="47" t="s">
        <v>18</v>
      </c>
      <c r="E75" s="60"/>
      <c r="F75" s="89"/>
      <c r="G75" s="47" t="s">
        <v>19</v>
      </c>
      <c r="H75" s="60"/>
      <c r="I75" s="60"/>
      <c r="J75" s="60"/>
      <c r="K75" s="89"/>
      <c r="L75" s="90"/>
      <c r="M75" s="90"/>
      <c r="N75" s="90"/>
      <c r="O75" s="90"/>
      <c r="P75" s="90"/>
      <c r="Q75" s="90"/>
      <c r="R75" s="90"/>
      <c r="S75" s="90"/>
      <c r="T75" s="90"/>
      <c r="U75" s="90"/>
      <c r="V75" s="90"/>
      <c r="W75" s="90"/>
      <c r="X75" s="90"/>
      <c r="Y75" s="90"/>
      <c r="Z75" s="90"/>
      <c r="AA75" s="90"/>
    </row>
    <row r="76" customFormat="false" ht="14.25" hidden="false" customHeight="true" outlineLevel="0" collapsed="false">
      <c r="A76" s="45"/>
      <c r="B76" s="90"/>
      <c r="C76" s="90"/>
      <c r="D76" s="45"/>
      <c r="E76" s="131"/>
      <c r="F76" s="45"/>
      <c r="G76" s="45"/>
      <c r="H76" s="45"/>
      <c r="I76" s="45"/>
      <c r="J76" s="131"/>
      <c r="K76" s="131"/>
      <c r="L76" s="45"/>
      <c r="M76" s="45"/>
      <c r="N76" s="45"/>
      <c r="O76" s="45"/>
      <c r="P76" s="45"/>
      <c r="Q76" s="45"/>
      <c r="R76" s="45"/>
      <c r="S76" s="45"/>
      <c r="T76" s="45"/>
      <c r="U76" s="45"/>
      <c r="V76" s="45"/>
      <c r="W76" s="45"/>
      <c r="X76" s="45"/>
      <c r="Y76" s="45"/>
      <c r="Z76" s="45"/>
      <c r="AA76" s="45"/>
    </row>
    <row r="77" customFormat="false" ht="14.25" hidden="false" customHeight="true" outlineLevel="0" collapsed="false">
      <c r="A77" s="90" t="s">
        <v>21</v>
      </c>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row>
    <row r="78" customFormat="false" ht="14.25" hidden="false" customHeight="true" outlineLevel="0" collapsed="false">
      <c r="A78" s="90" t="s">
        <v>221</v>
      </c>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row>
    <row r="79" customFormat="false" ht="14.25" hidden="false" customHeight="true" outlineLevel="0" collapsed="false">
      <c r="A79" s="90" t="s">
        <v>222</v>
      </c>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row>
    <row r="80" customFormat="false" ht="14.25" hidden="false" customHeight="true" outlineLevel="0" collapsed="false">
      <c r="A80" s="90" t="s">
        <v>223</v>
      </c>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row>
    <row r="81" customFormat="false" ht="14.25" hidden="false" customHeight="true" outlineLevel="0" collapsed="false">
      <c r="A81" s="45" t="s">
        <v>224</v>
      </c>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row>
    <row r="82" customFormat="false" ht="14.25" hidden="false" customHeight="true" outlineLevel="0" collapsed="false">
      <c r="A82" s="45" t="s">
        <v>225</v>
      </c>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row>
    <row r="83" customFormat="false" ht="14.25" hidden="false" customHeight="true" outlineLevel="0" collapsed="false">
      <c r="A83" s="45" t="s">
        <v>226</v>
      </c>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row>
    <row r="84" customFormat="false" ht="14.25" hidden="false" customHeight="true" outlineLevel="0" collapsed="false">
      <c r="A84" s="45" t="s">
        <v>227</v>
      </c>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row>
    <row r="85" customFormat="false" ht="14.25" hidden="false" customHeight="true" outlineLevel="0" collapsed="false">
      <c r="A85" s="45" t="s">
        <v>228</v>
      </c>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row>
    <row r="86" customFormat="false" ht="14.25" hidden="false" customHeight="true" outlineLevel="0" collapsed="false">
      <c r="A86" s="133" t="s">
        <v>229</v>
      </c>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row>
    <row r="87" customFormat="false" ht="14.25" hidden="false" customHeight="true" outlineLevel="0" collapsed="false">
      <c r="A87" s="45" t="s">
        <v>230</v>
      </c>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row>
    <row r="88" customFormat="false" ht="14.25" hidden="false" customHeight="true" outlineLevel="0" collapsed="false">
      <c r="A88" s="45" t="s">
        <v>231</v>
      </c>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row>
    <row r="89" customFormat="false" ht="14.25" hidden="false" customHeight="true" outlineLevel="0" collapsed="false">
      <c r="A89" s="45" t="s">
        <v>232</v>
      </c>
      <c r="B89" s="134"/>
      <c r="C89" s="134"/>
      <c r="D89" s="134"/>
      <c r="E89" s="134"/>
      <c r="F89" s="134"/>
      <c r="G89" s="134"/>
      <c r="H89" s="134"/>
      <c r="I89" s="134"/>
      <c r="J89" s="134"/>
      <c r="K89" s="134"/>
      <c r="L89" s="45"/>
      <c r="M89" s="45"/>
      <c r="N89" s="45"/>
      <c r="O89" s="45"/>
      <c r="P89" s="45"/>
      <c r="Q89" s="45"/>
      <c r="R89" s="45"/>
      <c r="S89" s="45"/>
      <c r="T89" s="45"/>
      <c r="U89" s="45"/>
      <c r="V89" s="45"/>
      <c r="W89" s="45"/>
      <c r="X89" s="45"/>
      <c r="Y89" s="45"/>
      <c r="Z89" s="45"/>
      <c r="AA89" s="45"/>
    </row>
    <row r="90" customFormat="false" ht="14.25" hidden="false" customHeight="true" outlineLevel="0" collapsed="false">
      <c r="A90" s="45" t="s">
        <v>88</v>
      </c>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row>
    <row r="91" customFormat="false" ht="14.25" hidden="false" customHeight="true" outlineLevel="0" collapsed="false">
      <c r="A91" s="45" t="s">
        <v>233</v>
      </c>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row>
    <row r="92" customFormat="false" ht="14.25" hidden="false" customHeight="true" outlineLevel="0" collapsed="false">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row>
    <row r="93" customFormat="false" ht="14.25" hidden="false" customHeight="true" outlineLevel="0" collapsed="false">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row>
    <row r="94" customFormat="false" ht="14.25" hidden="false" customHeight="true" outlineLevel="0" collapsed="false">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row>
    <row r="95" customFormat="false" ht="14.25" hidden="false" customHeight="true" outlineLevel="0" collapsed="false">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row>
    <row r="96" customFormat="false" ht="14.25" hidden="false" customHeight="true" outlineLevel="0" collapsed="false">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row>
    <row r="97" customFormat="false" ht="14.25" hidden="false" customHeight="true" outlineLevel="0" collapsed="false">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row>
    <row r="98" customFormat="false" ht="14.25" hidden="false" customHeight="true" outlineLevel="0" collapsed="false">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row>
    <row r="99" customFormat="false" ht="14.25" hidden="false" customHeight="true" outlineLevel="0" collapsed="false">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row>
    <row r="100" customFormat="false" ht="14.25" hidden="false" customHeight="true" outlineLevel="0" collapsed="false">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row>
    <row r="101" customFormat="false" ht="14.25" hidden="false" customHeight="true" outlineLevel="0" collapsed="false">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row>
    <row r="102" customFormat="false" ht="14.25" hidden="false" customHeight="true" outlineLevel="0" collapsed="false">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row>
    <row r="103" customFormat="false" ht="14.25" hidden="false" customHeight="true" outlineLevel="0" collapsed="false">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row>
    <row r="104" customFormat="false" ht="14.25" hidden="false" customHeight="true" outlineLevel="0" collapsed="false">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row>
    <row r="105" customFormat="false" ht="14.25" hidden="false" customHeight="true" outlineLevel="0" collapsed="false">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row>
    <row r="106" customFormat="false" ht="14.25" hidden="false" customHeight="true" outlineLevel="0" collapsed="false">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row>
    <row r="107" customFormat="false" ht="14.25" hidden="false" customHeight="true" outlineLevel="0" collapsed="false">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row>
    <row r="108" customFormat="false" ht="14.25" hidden="false" customHeight="true" outlineLevel="0" collapsed="false">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row>
    <row r="109" customFormat="false" ht="14.25" hidden="false" customHeight="true" outlineLevel="0" collapsed="false">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row>
    <row r="110" customFormat="false" ht="14.25" hidden="false" customHeight="true" outlineLevel="0" collapsed="false">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row>
    <row r="111" customFormat="false" ht="14.25" hidden="false" customHeight="true" outlineLevel="0" collapsed="false">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row>
    <row r="112" customFormat="false" ht="14.25" hidden="false" customHeight="true" outlineLevel="0" collapsed="false">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row>
    <row r="113" customFormat="false" ht="14.25" hidden="false" customHeight="true" outlineLevel="0" collapsed="false">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row>
    <row r="114" customFormat="false" ht="14.25" hidden="false" customHeight="true" outlineLevel="0" collapsed="false">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row>
    <row r="115" customFormat="false" ht="14.25" hidden="false" customHeight="true" outlineLevel="0" collapsed="false">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row>
    <row r="116" customFormat="false" ht="14.25" hidden="false" customHeight="true" outlineLevel="0" collapsed="false">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row>
    <row r="117" customFormat="false" ht="14.25" hidden="false" customHeight="true" outlineLevel="0" collapsed="false">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row>
    <row r="118" customFormat="false" ht="14.25" hidden="false" customHeight="true" outlineLevel="0" collapsed="false">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row>
    <row r="119" customFormat="false" ht="14.25" hidden="false" customHeight="true" outlineLevel="0" collapsed="false">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row>
    <row r="120" customFormat="false" ht="14.25" hidden="false" customHeight="true" outlineLevel="0" collapsed="false">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row>
    <row r="121" customFormat="false" ht="14.25" hidden="false" customHeight="true" outlineLevel="0" collapsed="false">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row>
    <row r="122" customFormat="false" ht="14.25" hidden="false" customHeight="true" outlineLevel="0" collapsed="false">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row>
    <row r="123" customFormat="false" ht="14.25" hidden="false" customHeight="true" outlineLevel="0" collapsed="false">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row>
    <row r="124" customFormat="false" ht="14.25" hidden="false" customHeight="true" outlineLevel="0" collapsed="false">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row>
    <row r="125" customFormat="false" ht="14.25" hidden="false" customHeight="true" outlineLevel="0" collapsed="false">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row>
    <row r="126" customFormat="false" ht="14.25" hidden="false" customHeight="true" outlineLevel="0" collapsed="false">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row>
    <row r="127" customFormat="false" ht="14.25" hidden="false" customHeight="true" outlineLevel="0" collapsed="false">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row>
    <row r="128" customFormat="false" ht="14.25" hidden="false" customHeight="true" outlineLevel="0" collapsed="false">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row>
    <row r="129" customFormat="false" ht="14.25" hidden="false" customHeight="true" outlineLevel="0" collapsed="false">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row>
    <row r="130" customFormat="false" ht="14.25" hidden="false" customHeight="true" outlineLevel="0" collapsed="false">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row>
    <row r="131" customFormat="false" ht="14.25" hidden="false" customHeight="true" outlineLevel="0" collapsed="false">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row>
    <row r="132" customFormat="false" ht="14.25" hidden="false" customHeight="true" outlineLevel="0" collapsed="false">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row>
    <row r="133" customFormat="false" ht="14.25" hidden="false" customHeight="true" outlineLevel="0" collapsed="false">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row>
    <row r="134" customFormat="false" ht="14.25" hidden="false" customHeight="true" outlineLevel="0" collapsed="false">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row>
    <row r="135" customFormat="false" ht="14.25" hidden="false" customHeight="true" outlineLevel="0" collapsed="false">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row>
    <row r="136" customFormat="false" ht="14.25" hidden="false" customHeight="true" outlineLevel="0" collapsed="false">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row>
    <row r="137" customFormat="false" ht="14.25" hidden="false" customHeight="true" outlineLevel="0" collapsed="false">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row>
    <row r="138" customFormat="false" ht="14.25" hidden="false" customHeight="true" outlineLevel="0" collapsed="false">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row>
    <row r="139" customFormat="false" ht="14.25" hidden="false" customHeight="true" outlineLevel="0" collapsed="false">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row>
    <row r="140" customFormat="false" ht="14.25" hidden="false" customHeight="true" outlineLevel="0" collapsed="false">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row>
    <row r="141" customFormat="false" ht="14.25" hidden="false" customHeight="true" outlineLevel="0" collapsed="false">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row>
    <row r="142" customFormat="false" ht="14.25" hidden="false" customHeight="true" outlineLevel="0" collapsed="false">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row>
    <row r="143" customFormat="false" ht="14.25" hidden="false" customHeight="true" outlineLevel="0" collapsed="false">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row>
    <row r="144" customFormat="false" ht="14.25" hidden="false" customHeight="true" outlineLevel="0" collapsed="false">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row>
    <row r="145" customFormat="false" ht="14.25" hidden="false" customHeight="true" outlineLevel="0" collapsed="false">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row>
    <row r="146" customFormat="false" ht="14.25" hidden="false" customHeight="true" outlineLevel="0" collapsed="false">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row>
    <row r="147" customFormat="false" ht="14.25" hidden="false" customHeight="true" outlineLevel="0" collapsed="false">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row>
    <row r="148" customFormat="false" ht="14.25" hidden="false" customHeight="true" outlineLevel="0" collapsed="false">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row>
    <row r="149" customFormat="false" ht="14.25" hidden="false" customHeight="true" outlineLevel="0" collapsed="false">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row>
    <row r="150" customFormat="false" ht="14.25" hidden="false" customHeight="true" outlineLevel="0" collapsed="false">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row>
    <row r="151" customFormat="false" ht="14.25" hidden="false" customHeight="true" outlineLevel="0" collapsed="false">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row>
    <row r="152" customFormat="false" ht="14.25" hidden="false" customHeight="true" outlineLevel="0" collapsed="false">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row>
    <row r="153" customFormat="false" ht="14.25" hidden="false" customHeight="true" outlineLevel="0" collapsed="false">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row>
    <row r="154" customFormat="false" ht="14.25" hidden="false" customHeight="true" outlineLevel="0" collapsed="false">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row>
    <row r="155" customFormat="false" ht="14.25" hidden="false" customHeight="true" outlineLevel="0" collapsed="false">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row>
    <row r="156" customFormat="false" ht="14.25" hidden="false" customHeight="true" outlineLevel="0" collapsed="false">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row>
    <row r="157" customFormat="false" ht="14.25" hidden="false" customHeight="true" outlineLevel="0" collapsed="false">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row>
    <row r="158" customFormat="false" ht="14.25" hidden="false" customHeight="true" outlineLevel="0" collapsed="false">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row>
    <row r="159" customFormat="false" ht="14.25" hidden="false" customHeight="true" outlineLevel="0" collapsed="false">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row>
    <row r="160" customFormat="false" ht="14.25" hidden="false" customHeight="true" outlineLevel="0" collapsed="false">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row>
    <row r="161" customFormat="false" ht="14.25" hidden="false" customHeight="true" outlineLevel="0" collapsed="false">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row>
    <row r="162" customFormat="false" ht="14.25" hidden="false" customHeight="true" outlineLevel="0" collapsed="false">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row>
    <row r="163" customFormat="false" ht="14.25" hidden="false" customHeight="true" outlineLevel="0" collapsed="false">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row>
    <row r="164" customFormat="false" ht="14.25" hidden="false" customHeight="true" outlineLevel="0" collapsed="false">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row>
    <row r="165" customFormat="false" ht="14.25" hidden="false" customHeight="true" outlineLevel="0" collapsed="false">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row>
    <row r="166" customFormat="false" ht="14.25" hidden="false" customHeight="true" outlineLevel="0" collapsed="false">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row>
    <row r="167" customFormat="false" ht="14.25" hidden="false" customHeight="true" outlineLevel="0" collapsed="false">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row>
    <row r="168" customFormat="false" ht="14.25" hidden="false" customHeight="true" outlineLevel="0" collapsed="false">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row>
    <row r="169" customFormat="false" ht="14.25" hidden="false" customHeight="true" outlineLevel="0" collapsed="false">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row>
    <row r="170" customFormat="false" ht="14.25" hidden="false" customHeight="true" outlineLevel="0" collapsed="false">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row>
    <row r="171" customFormat="false" ht="14.25" hidden="false" customHeight="true" outlineLevel="0" collapsed="false">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row>
    <row r="172" customFormat="false" ht="14.25" hidden="false" customHeight="true" outlineLevel="0" collapsed="false">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row>
    <row r="173" customFormat="false" ht="14.25" hidden="false" customHeight="true" outlineLevel="0" collapsed="false">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row>
    <row r="174" customFormat="false" ht="14.25" hidden="false" customHeight="true" outlineLevel="0" collapsed="false">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row>
    <row r="175" customFormat="false" ht="14.25" hidden="false" customHeight="true" outlineLevel="0" collapsed="false">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row>
    <row r="176" customFormat="false" ht="14.25" hidden="false" customHeight="true" outlineLevel="0" collapsed="false">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row>
    <row r="177" customFormat="false" ht="14.25" hidden="false" customHeight="true" outlineLevel="0" collapsed="false">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row>
    <row r="178" customFormat="false" ht="14.25" hidden="false" customHeight="true" outlineLevel="0" collapsed="false">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row>
    <row r="179" customFormat="false" ht="14.25" hidden="false" customHeight="true" outlineLevel="0" collapsed="false">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row>
    <row r="180" customFormat="false" ht="14.25" hidden="false" customHeight="true" outlineLevel="0" collapsed="false">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row>
    <row r="181" customFormat="false" ht="14.25" hidden="false" customHeight="true" outlineLevel="0" collapsed="false">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row>
    <row r="182" customFormat="false" ht="14.25" hidden="false" customHeight="true" outlineLevel="0" collapsed="false">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row>
    <row r="183" customFormat="false" ht="14.25" hidden="false" customHeight="true" outlineLevel="0" collapsed="false">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row>
    <row r="184" customFormat="false" ht="14.25" hidden="false" customHeight="true" outlineLevel="0" collapsed="false">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row>
    <row r="185" customFormat="false" ht="14.25" hidden="false" customHeight="true" outlineLevel="0" collapsed="false">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row>
    <row r="186" customFormat="false" ht="14.25" hidden="false" customHeight="true" outlineLevel="0" collapsed="false">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row>
    <row r="187" customFormat="false" ht="14.25" hidden="false" customHeight="true" outlineLevel="0" collapsed="false">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row>
    <row r="188" customFormat="false" ht="14.25" hidden="false" customHeight="true" outlineLevel="0" collapsed="false">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row>
    <row r="189" customFormat="false" ht="14.25" hidden="false" customHeight="true" outlineLevel="0" collapsed="false">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row>
    <row r="190" customFormat="false" ht="14.25" hidden="false" customHeight="true" outlineLevel="0" collapsed="false">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row>
    <row r="191" customFormat="false" ht="14.25" hidden="false" customHeight="true" outlineLevel="0" collapsed="false">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row>
    <row r="192" customFormat="false" ht="14.25" hidden="false" customHeight="true" outlineLevel="0" collapsed="false">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row>
    <row r="193" customFormat="false" ht="14.25" hidden="false" customHeight="true" outlineLevel="0" collapsed="false">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row>
    <row r="194" customFormat="false" ht="14.25" hidden="false" customHeight="true" outlineLevel="0" collapsed="false">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row>
    <row r="195" customFormat="false" ht="14.25" hidden="false" customHeight="true" outlineLevel="0" collapsed="false">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row>
    <row r="196" customFormat="false" ht="14.25" hidden="false" customHeight="true" outlineLevel="0" collapsed="false">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row>
    <row r="197" customFormat="false" ht="14.25" hidden="false" customHeight="true" outlineLevel="0" collapsed="false">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row>
    <row r="198" customFormat="false" ht="14.25" hidden="false" customHeight="true" outlineLevel="0" collapsed="false">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row>
    <row r="199" customFormat="false" ht="14.25" hidden="false" customHeight="true" outlineLevel="0" collapsed="false">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row>
    <row r="200" customFormat="false" ht="14.25" hidden="false" customHeight="true" outlineLevel="0" collapsed="false">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row>
    <row r="201" customFormat="false" ht="14.25" hidden="false" customHeight="true" outlineLevel="0" collapsed="false">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row>
    <row r="202" customFormat="false" ht="14.25" hidden="false" customHeight="true" outlineLevel="0" collapsed="false">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row>
    <row r="203" customFormat="false" ht="14.25" hidden="false" customHeight="true" outlineLevel="0" collapsed="false">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row>
    <row r="204" customFormat="false" ht="14.25" hidden="false" customHeight="true" outlineLevel="0" collapsed="false">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row>
    <row r="205" customFormat="false" ht="14.25" hidden="false" customHeight="true" outlineLevel="0" collapsed="false">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row>
    <row r="206" customFormat="false" ht="14.25" hidden="false" customHeight="true" outlineLevel="0" collapsed="false">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row>
    <row r="207" customFormat="false" ht="14.25" hidden="false" customHeight="true" outlineLevel="0" collapsed="false">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row>
    <row r="208" customFormat="false" ht="14.25" hidden="false" customHeight="true" outlineLevel="0" collapsed="false">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row>
    <row r="209" customFormat="false" ht="14.25" hidden="false" customHeight="true" outlineLevel="0" collapsed="false">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row>
    <row r="210" customFormat="false" ht="14.25" hidden="false" customHeight="true" outlineLevel="0" collapsed="false">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row>
    <row r="211" customFormat="false" ht="14.25" hidden="false" customHeight="true" outlineLevel="0" collapsed="false">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row>
    <row r="212" customFormat="false" ht="14.25" hidden="false" customHeight="true" outlineLevel="0" collapsed="false">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row>
    <row r="213" customFormat="false" ht="14.25" hidden="false" customHeight="true" outlineLevel="0" collapsed="false">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row>
    <row r="214" customFormat="false" ht="14.25" hidden="false" customHeight="true" outlineLevel="0" collapsed="false">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row>
    <row r="215" customFormat="false" ht="14.25" hidden="false" customHeight="true" outlineLevel="0" collapsed="false">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row>
    <row r="216" customFormat="false" ht="14.25" hidden="false" customHeight="true" outlineLevel="0" collapsed="false">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row>
    <row r="217" customFormat="false" ht="14.25" hidden="false" customHeight="true" outlineLevel="0" collapsed="false">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row>
    <row r="218" customFormat="false" ht="14.25" hidden="false" customHeight="true" outlineLevel="0" collapsed="false">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row>
    <row r="219" customFormat="false" ht="14.25" hidden="false" customHeight="true" outlineLevel="0" collapsed="false">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row>
    <row r="220" customFormat="false" ht="14.25" hidden="false" customHeight="true" outlineLevel="0" collapsed="false">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row>
    <row r="221" customFormat="false" ht="14.25" hidden="false" customHeight="true" outlineLevel="0" collapsed="false">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row>
    <row r="222" customFormat="false" ht="14.25" hidden="false" customHeight="true" outlineLevel="0" collapsed="false">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row>
    <row r="223" customFormat="false" ht="14.25" hidden="false" customHeight="true" outlineLevel="0" collapsed="false">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row>
    <row r="224" customFormat="false" ht="14.25" hidden="false" customHeight="true" outlineLevel="0" collapsed="false">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row>
    <row r="225" customFormat="false" ht="14.25" hidden="false" customHeight="true" outlineLevel="0" collapsed="false">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row>
    <row r="226" customFormat="false" ht="14.25" hidden="false" customHeight="true" outlineLevel="0" collapsed="false">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row>
    <row r="227" customFormat="false" ht="14.25" hidden="false" customHeight="true" outlineLevel="0" collapsed="false">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row>
    <row r="228" customFormat="false" ht="14.25" hidden="false" customHeight="true" outlineLevel="0" collapsed="false">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row>
    <row r="229" customFormat="false" ht="14.25" hidden="false" customHeight="true" outlineLevel="0" collapsed="false">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row>
    <row r="230" customFormat="false" ht="14.25" hidden="false" customHeight="true" outlineLevel="0" collapsed="false">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row>
    <row r="231" customFormat="false" ht="14.25" hidden="false" customHeight="true" outlineLevel="0" collapsed="false">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row>
    <row r="232" customFormat="false" ht="14.25" hidden="false" customHeight="true" outlineLevel="0" collapsed="false">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row>
    <row r="233" customFormat="false" ht="14.25" hidden="false" customHeight="true" outlineLevel="0" collapsed="false">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row>
    <row r="234" customFormat="false" ht="14.25" hidden="false" customHeight="true" outlineLevel="0" collapsed="false">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row>
    <row r="235" customFormat="false" ht="14.25" hidden="false" customHeight="true" outlineLevel="0" collapsed="false">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row>
    <row r="236" customFormat="false" ht="14.25" hidden="false" customHeight="true" outlineLevel="0" collapsed="false">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row>
    <row r="237" customFormat="false" ht="14.25" hidden="false" customHeight="true" outlineLevel="0" collapsed="false">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row>
    <row r="238" customFormat="false" ht="14.25" hidden="false" customHeight="true" outlineLevel="0" collapsed="false">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row>
    <row r="239" customFormat="false" ht="14.25" hidden="false" customHeight="true" outlineLevel="0" collapsed="false">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row>
    <row r="240" customFormat="false" ht="14.25" hidden="false" customHeight="true" outlineLevel="0" collapsed="false">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row>
    <row r="241" customFormat="false" ht="14.25" hidden="false" customHeight="true" outlineLevel="0" collapsed="false">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row>
    <row r="242" customFormat="false" ht="14.25" hidden="false" customHeight="true" outlineLevel="0" collapsed="false">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row>
    <row r="243" customFormat="false" ht="14.25" hidden="false" customHeight="true" outlineLevel="0" collapsed="false">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row>
    <row r="244" customFormat="false" ht="14.25" hidden="false" customHeight="true" outlineLevel="0" collapsed="false">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row>
    <row r="245" customFormat="false" ht="14.25" hidden="false" customHeight="true" outlineLevel="0" collapsed="false">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row>
    <row r="246" customFormat="false" ht="14.25" hidden="false" customHeight="true" outlineLevel="0" collapsed="false">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row>
    <row r="247" customFormat="false" ht="14.25" hidden="false" customHeight="true" outlineLevel="0" collapsed="false">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row>
    <row r="248" customFormat="false" ht="14.25" hidden="false" customHeight="true" outlineLevel="0" collapsed="false">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row>
    <row r="249" customFormat="false" ht="14.25" hidden="false" customHeight="true" outlineLevel="0" collapsed="false">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row>
    <row r="250" customFormat="false" ht="14.25" hidden="false" customHeight="true" outlineLevel="0" collapsed="false">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row>
    <row r="251" customFormat="false" ht="14.25" hidden="false" customHeight="true" outlineLevel="0" collapsed="false">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row>
    <row r="252" customFormat="false" ht="14.25" hidden="false" customHeight="true" outlineLevel="0" collapsed="false">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row>
    <row r="253" customFormat="false" ht="14.25" hidden="false" customHeight="true" outlineLevel="0" collapsed="false">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row>
    <row r="254" customFormat="false" ht="14.25" hidden="false" customHeight="true" outlineLevel="0" collapsed="false">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row>
    <row r="255" customFormat="false" ht="14.25" hidden="false" customHeight="true" outlineLevel="0" collapsed="false">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row>
    <row r="256" customFormat="false" ht="14.25" hidden="false" customHeight="true" outlineLevel="0" collapsed="false">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row>
    <row r="257" customFormat="false" ht="14.25" hidden="false" customHeight="true" outlineLevel="0" collapsed="false">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row>
    <row r="258" customFormat="false" ht="14.25" hidden="false" customHeight="true" outlineLevel="0" collapsed="false">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row>
    <row r="259" customFormat="false" ht="14.25" hidden="false" customHeight="true" outlineLevel="0" collapsed="false">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row>
    <row r="260" customFormat="false" ht="14.25" hidden="false" customHeight="true" outlineLevel="0" collapsed="false">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row>
    <row r="261" customFormat="false" ht="14.25" hidden="false" customHeight="true" outlineLevel="0" collapsed="false">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row>
    <row r="262" customFormat="false" ht="14.25" hidden="false" customHeight="true" outlineLevel="0" collapsed="false">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row>
    <row r="263" customFormat="false" ht="14.25" hidden="false" customHeight="true" outlineLevel="0" collapsed="false">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row>
    <row r="264" customFormat="false" ht="14.25" hidden="false" customHeight="true" outlineLevel="0" collapsed="false">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row>
    <row r="265" customFormat="false" ht="14.25" hidden="false" customHeight="true" outlineLevel="0" collapsed="false">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row>
    <row r="266" customFormat="false" ht="14.25" hidden="false" customHeight="true" outlineLevel="0" collapsed="false">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row>
    <row r="267" customFormat="false" ht="14.25" hidden="false" customHeight="true" outlineLevel="0" collapsed="false">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row>
    <row r="268" customFormat="false" ht="14.25" hidden="false" customHeight="true" outlineLevel="0" collapsed="false">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row>
    <row r="269" customFormat="false" ht="14.25" hidden="false" customHeight="true" outlineLevel="0" collapsed="false">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row>
    <row r="270" customFormat="false" ht="14.25" hidden="false" customHeight="true" outlineLevel="0" collapsed="false">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row>
    <row r="271" customFormat="false" ht="14.25" hidden="false" customHeight="true" outlineLevel="0" collapsed="false">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row>
    <row r="272" customFormat="false" ht="14.25" hidden="false" customHeight="true" outlineLevel="0" collapsed="false">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row>
    <row r="273" customFormat="false" ht="14.25" hidden="false" customHeight="true" outlineLevel="0" collapsed="false">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row>
    <row r="274" customFormat="false" ht="14.25" hidden="false" customHeight="true" outlineLevel="0" collapsed="false">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row>
    <row r="275" customFormat="false" ht="14.25" hidden="false" customHeight="true" outlineLevel="0" collapsed="false">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row>
    <row r="276" customFormat="false" ht="14.25" hidden="false" customHeight="true" outlineLevel="0" collapsed="false">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row>
    <row r="277" customFormat="false" ht="14.25" hidden="false" customHeight="true" outlineLevel="0" collapsed="false">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row>
    <row r="278" customFormat="false" ht="14.25" hidden="false" customHeight="true" outlineLevel="0" collapsed="false">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row>
    <row r="279" customFormat="false" ht="14.25" hidden="false" customHeight="true" outlineLevel="0" collapsed="false">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row>
    <row r="280" customFormat="false" ht="14.25" hidden="false" customHeight="true" outlineLevel="0" collapsed="false">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row>
    <row r="281" customFormat="false" ht="14.25" hidden="false" customHeight="true" outlineLevel="0" collapsed="false">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row>
    <row r="282" customFormat="false" ht="14.25" hidden="false" customHeight="true" outlineLevel="0" collapsed="false">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row>
    <row r="283" customFormat="false" ht="14.25" hidden="false" customHeight="true" outlineLevel="0" collapsed="false">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row>
    <row r="284" customFormat="false" ht="14.25" hidden="false" customHeight="true" outlineLevel="0" collapsed="false">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row>
    <row r="285" customFormat="false" ht="14.25" hidden="false" customHeight="true" outlineLevel="0" collapsed="false">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row>
    <row r="286" customFormat="false" ht="14.25" hidden="false" customHeight="true" outlineLevel="0" collapsed="false">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row>
    <row r="287" customFormat="false" ht="14.25" hidden="false" customHeight="true" outlineLevel="0" collapsed="false">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row>
    <row r="288" customFormat="false" ht="14.25" hidden="false" customHeight="true" outlineLevel="0" collapsed="false">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row>
    <row r="289" customFormat="false" ht="14.25" hidden="false" customHeight="true" outlineLevel="0" collapsed="false">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row>
    <row r="290" customFormat="false" ht="14.25" hidden="false" customHeight="true" outlineLevel="0" collapsed="false">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row>
    <row r="291" customFormat="false" ht="14.25" hidden="false" customHeight="true" outlineLevel="0" collapsed="false">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row>
    <row r="292" customFormat="false" ht="14.25" hidden="false" customHeight="true" outlineLevel="0" collapsed="false">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row>
    <row r="293" customFormat="false" ht="14.25" hidden="false" customHeight="true" outlineLevel="0" collapsed="false">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row>
    <row r="294" customFormat="false" ht="14.25" hidden="false" customHeight="true" outlineLevel="0" collapsed="false">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row>
    <row r="295" customFormat="false" ht="14.25" hidden="false" customHeight="true" outlineLevel="0" collapsed="false">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row>
    <row r="296" customFormat="false" ht="14.25" hidden="false" customHeight="true" outlineLevel="0" collapsed="false">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row>
    <row r="297" customFormat="false" ht="14.25" hidden="false" customHeight="true" outlineLevel="0" collapsed="false">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row>
    <row r="298" customFormat="false" ht="14.25" hidden="false" customHeight="true" outlineLevel="0" collapsed="false">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row>
    <row r="299" customFormat="false" ht="14.25" hidden="false" customHeight="true" outlineLevel="0" collapsed="false">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row>
    <row r="300" customFormat="false" ht="14.25" hidden="false" customHeight="true" outlineLevel="0" collapsed="false">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row>
    <row r="301" customFormat="false" ht="14.25" hidden="false" customHeight="true" outlineLevel="0" collapsed="false">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row>
    <row r="302" customFormat="false" ht="14.25" hidden="false" customHeight="true" outlineLevel="0" collapsed="false">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row>
    <row r="303" customFormat="false" ht="14.25" hidden="false" customHeight="true" outlineLevel="0" collapsed="false">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row>
    <row r="304" customFormat="false" ht="14.25" hidden="false" customHeight="true" outlineLevel="0" collapsed="false">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row>
    <row r="305" customFormat="false" ht="14.25" hidden="false" customHeight="true" outlineLevel="0" collapsed="false">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row>
    <row r="306" customFormat="false" ht="14.25" hidden="false" customHeight="true" outlineLevel="0" collapsed="false">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row>
    <row r="307" customFormat="false" ht="14.25" hidden="false" customHeight="true" outlineLevel="0" collapsed="false">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row>
    <row r="308" customFormat="false" ht="14.25" hidden="false" customHeight="true" outlineLevel="0" collapsed="false">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row>
    <row r="309" customFormat="false" ht="14.25" hidden="false" customHeight="true" outlineLevel="0" collapsed="false">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row>
    <row r="310" customFormat="false" ht="14.25" hidden="false" customHeight="true" outlineLevel="0" collapsed="false">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row>
    <row r="311" customFormat="false" ht="14.25" hidden="false" customHeight="true" outlineLevel="0" collapsed="false">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row>
    <row r="312" customFormat="false" ht="14.25" hidden="false" customHeight="true" outlineLevel="0" collapsed="false">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row>
    <row r="313" customFormat="false" ht="14.25" hidden="false" customHeight="true" outlineLevel="0" collapsed="false">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row>
    <row r="314" customFormat="false" ht="14.25" hidden="false" customHeight="true" outlineLevel="0" collapsed="false">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row>
    <row r="315" customFormat="false" ht="14.25" hidden="false" customHeight="true" outlineLevel="0" collapsed="false">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row>
    <row r="316" customFormat="false" ht="14.25" hidden="false" customHeight="true" outlineLevel="0" collapsed="false">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row>
    <row r="317" customFormat="false" ht="14.25" hidden="false" customHeight="true" outlineLevel="0" collapsed="false">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row>
    <row r="318" customFormat="false" ht="14.25" hidden="false" customHeight="true" outlineLevel="0" collapsed="false">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row>
    <row r="319" customFormat="false" ht="14.25" hidden="false" customHeight="true" outlineLevel="0" collapsed="false">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row>
    <row r="320" customFormat="false" ht="14.25" hidden="false" customHeight="true" outlineLevel="0" collapsed="false">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row>
    <row r="321" customFormat="false" ht="14.25" hidden="false" customHeight="true" outlineLevel="0" collapsed="false">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row>
    <row r="322" customFormat="false" ht="14.25" hidden="false" customHeight="true" outlineLevel="0" collapsed="false">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row>
    <row r="323" customFormat="false" ht="14.25" hidden="false" customHeight="true" outlineLevel="0" collapsed="false">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row>
    <row r="324" customFormat="false" ht="14.25" hidden="false" customHeight="true" outlineLevel="0" collapsed="false">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row>
    <row r="325" customFormat="false" ht="14.25" hidden="false" customHeight="true" outlineLevel="0" collapsed="false">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row>
    <row r="326" customFormat="false" ht="14.25" hidden="false" customHeight="true" outlineLevel="0" collapsed="false">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row>
    <row r="327" customFormat="false" ht="14.25" hidden="false" customHeight="true" outlineLevel="0" collapsed="false">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row>
    <row r="328" customFormat="false" ht="14.25" hidden="false" customHeight="true" outlineLevel="0" collapsed="false">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row>
    <row r="329" customFormat="false" ht="14.25" hidden="false" customHeight="true" outlineLevel="0" collapsed="false">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row>
    <row r="330" customFormat="false" ht="14.25" hidden="false" customHeight="true" outlineLevel="0" collapsed="false">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row>
    <row r="331" customFormat="false" ht="14.25" hidden="false" customHeight="true" outlineLevel="0" collapsed="false">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row>
    <row r="332" customFormat="false" ht="14.25" hidden="false" customHeight="true" outlineLevel="0" collapsed="false">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row>
    <row r="333" customFormat="false" ht="14.25" hidden="false" customHeight="true" outlineLevel="0" collapsed="false">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row>
    <row r="334" customFormat="false" ht="14.25" hidden="false" customHeight="true" outlineLevel="0" collapsed="false">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row>
    <row r="335" customFormat="false" ht="14.25" hidden="false" customHeight="true" outlineLevel="0" collapsed="false">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row>
    <row r="336" customFormat="false" ht="14.25" hidden="false" customHeight="true" outlineLevel="0" collapsed="false">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row>
    <row r="337" customFormat="false" ht="14.25" hidden="false" customHeight="true" outlineLevel="0" collapsed="false">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row>
    <row r="338" customFormat="false" ht="14.25" hidden="false" customHeight="true" outlineLevel="0" collapsed="false">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row>
    <row r="339" customFormat="false" ht="14.25" hidden="false" customHeight="true" outlineLevel="0" collapsed="false">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row>
    <row r="340" customFormat="false" ht="14.25" hidden="false" customHeight="true" outlineLevel="0" collapsed="false">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row>
    <row r="341" customFormat="false" ht="14.25" hidden="false" customHeight="true" outlineLevel="0" collapsed="false">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row>
    <row r="342" customFormat="false" ht="14.25" hidden="false" customHeight="true" outlineLevel="0" collapsed="false">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row>
    <row r="343" customFormat="false" ht="14.25" hidden="false" customHeight="true" outlineLevel="0" collapsed="false">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row>
    <row r="344" customFormat="false" ht="14.25" hidden="false" customHeight="true" outlineLevel="0" collapsed="false">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row>
    <row r="345" customFormat="false" ht="14.25" hidden="false" customHeight="true" outlineLevel="0" collapsed="false">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row>
    <row r="346" customFormat="false" ht="14.25" hidden="false" customHeight="true" outlineLevel="0" collapsed="false">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row>
    <row r="347" customFormat="false" ht="14.25" hidden="false" customHeight="true" outlineLevel="0" collapsed="false">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row>
    <row r="348" customFormat="false" ht="14.25" hidden="false" customHeight="true" outlineLevel="0" collapsed="false">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row>
    <row r="349" customFormat="false" ht="14.25" hidden="false" customHeight="true" outlineLevel="0" collapsed="false">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row>
    <row r="350" customFormat="false" ht="14.25" hidden="false" customHeight="true" outlineLevel="0" collapsed="false">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row>
    <row r="351" customFormat="false" ht="14.25" hidden="false" customHeight="true" outlineLevel="0" collapsed="false">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row>
    <row r="352" customFormat="false" ht="14.25" hidden="false" customHeight="true" outlineLevel="0" collapsed="false">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row>
    <row r="353" customFormat="false" ht="14.25" hidden="false" customHeight="true" outlineLevel="0" collapsed="false">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row>
    <row r="354" customFormat="false" ht="14.25" hidden="false" customHeight="true" outlineLevel="0" collapsed="false">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row>
    <row r="355" customFormat="false" ht="14.25" hidden="false" customHeight="true" outlineLevel="0" collapsed="false">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row>
    <row r="356" customFormat="false" ht="14.25" hidden="false" customHeight="true" outlineLevel="0" collapsed="false">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row>
    <row r="357" customFormat="false" ht="14.25" hidden="false" customHeight="true" outlineLevel="0" collapsed="false">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row>
    <row r="358" customFormat="false" ht="14.25" hidden="false" customHeight="true" outlineLevel="0" collapsed="false">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row>
    <row r="359" customFormat="false" ht="14.25" hidden="false" customHeight="true" outlineLevel="0" collapsed="false">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row>
    <row r="360" customFormat="false" ht="14.25" hidden="false" customHeight="true" outlineLevel="0" collapsed="false">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row>
    <row r="361" customFormat="false" ht="14.25" hidden="false" customHeight="true" outlineLevel="0" collapsed="false">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row>
    <row r="362" customFormat="false" ht="14.25" hidden="false" customHeight="true" outlineLevel="0" collapsed="false">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row>
    <row r="363" customFormat="false" ht="14.25" hidden="false" customHeight="true" outlineLevel="0" collapsed="false">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row>
    <row r="364" customFormat="false" ht="14.25" hidden="false" customHeight="true" outlineLevel="0" collapsed="false">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row>
    <row r="365" customFormat="false" ht="14.25" hidden="false" customHeight="true" outlineLevel="0" collapsed="false">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row>
    <row r="366" customFormat="false" ht="14.25" hidden="false" customHeight="true" outlineLevel="0" collapsed="false">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row>
    <row r="367" customFormat="false" ht="14.25" hidden="false" customHeight="true" outlineLevel="0" collapsed="false">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row>
    <row r="368" customFormat="false" ht="14.25" hidden="false" customHeight="true" outlineLevel="0" collapsed="false">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row>
    <row r="369" customFormat="false" ht="14.25" hidden="false" customHeight="true" outlineLevel="0" collapsed="false">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row>
    <row r="370" customFormat="false" ht="14.25" hidden="false" customHeight="true" outlineLevel="0" collapsed="false">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row>
    <row r="371" customFormat="false" ht="14.25" hidden="false" customHeight="true" outlineLevel="0" collapsed="false">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row>
    <row r="372" customFormat="false" ht="14.25" hidden="false" customHeight="true" outlineLevel="0" collapsed="false">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row>
    <row r="373" customFormat="false" ht="14.25" hidden="false" customHeight="true" outlineLevel="0" collapsed="false">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row>
    <row r="374" customFormat="false" ht="14.25" hidden="false" customHeight="true" outlineLevel="0" collapsed="false">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row>
    <row r="375" customFormat="false" ht="14.25" hidden="false" customHeight="true" outlineLevel="0" collapsed="false">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row>
    <row r="376" customFormat="false" ht="14.25" hidden="false" customHeight="true" outlineLevel="0" collapsed="false">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row>
    <row r="377" customFormat="false" ht="14.25" hidden="false" customHeight="true" outlineLevel="0" collapsed="false">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row>
    <row r="378" customFormat="false" ht="14.25" hidden="false" customHeight="true" outlineLevel="0" collapsed="false">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row>
    <row r="379" customFormat="false" ht="14.25" hidden="false" customHeight="true" outlineLevel="0" collapsed="false">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row>
    <row r="380" customFormat="false" ht="14.25" hidden="false" customHeight="true" outlineLevel="0" collapsed="false">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row>
    <row r="381" customFormat="false" ht="14.25" hidden="false" customHeight="true" outlineLevel="0" collapsed="false">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row>
    <row r="382" customFormat="false" ht="14.25" hidden="false" customHeight="true" outlineLevel="0" collapsed="false">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row>
    <row r="383" customFormat="false" ht="14.25" hidden="false" customHeight="true" outlineLevel="0" collapsed="false">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row>
    <row r="384" customFormat="false" ht="14.25" hidden="false" customHeight="true" outlineLevel="0" collapsed="false">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row>
    <row r="385" customFormat="false" ht="14.25" hidden="false" customHeight="true" outlineLevel="0" collapsed="false">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row>
    <row r="386" customFormat="false" ht="14.25" hidden="false" customHeight="true" outlineLevel="0" collapsed="false">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row>
    <row r="387" customFormat="false" ht="14.25" hidden="false" customHeight="true" outlineLevel="0" collapsed="false">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row>
    <row r="388" customFormat="false" ht="14.25" hidden="false" customHeight="true" outlineLevel="0" collapsed="false">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row>
    <row r="389" customFormat="false" ht="14.25" hidden="false" customHeight="true" outlineLevel="0" collapsed="false">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row>
    <row r="390" customFormat="false" ht="14.25" hidden="false" customHeight="true" outlineLevel="0" collapsed="false">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row>
    <row r="391" customFormat="false" ht="14.25" hidden="false" customHeight="true" outlineLevel="0" collapsed="false">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row>
    <row r="392" customFormat="false" ht="14.25" hidden="false" customHeight="true" outlineLevel="0" collapsed="false">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row>
    <row r="393" customFormat="false" ht="14.25" hidden="false" customHeight="true" outlineLevel="0" collapsed="false">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row>
    <row r="394" customFormat="false" ht="14.25" hidden="false" customHeight="true" outlineLevel="0" collapsed="false">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row>
    <row r="395" customFormat="false" ht="14.25" hidden="false" customHeight="true" outlineLevel="0" collapsed="false">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row>
    <row r="396" customFormat="false" ht="14.25" hidden="false" customHeight="true" outlineLevel="0" collapsed="false">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row>
    <row r="397" customFormat="false" ht="14.25" hidden="false" customHeight="true" outlineLevel="0" collapsed="false">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row>
    <row r="398" customFormat="false" ht="14.25" hidden="false" customHeight="true" outlineLevel="0" collapsed="false">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row>
    <row r="399" customFormat="false" ht="14.25" hidden="false" customHeight="true" outlineLevel="0" collapsed="false">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row>
    <row r="400" customFormat="false" ht="14.25" hidden="false" customHeight="true" outlineLevel="0" collapsed="false">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row>
    <row r="401" customFormat="false" ht="14.25" hidden="false" customHeight="true" outlineLevel="0" collapsed="false">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row>
    <row r="402" customFormat="false" ht="14.25" hidden="false" customHeight="true" outlineLevel="0" collapsed="false">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row>
    <row r="403" customFormat="false" ht="14.25" hidden="false" customHeight="true" outlineLevel="0" collapsed="false">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row>
    <row r="404" customFormat="false" ht="14.25" hidden="false" customHeight="true" outlineLevel="0" collapsed="false">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row>
    <row r="405" customFormat="false" ht="14.25" hidden="false" customHeight="true" outlineLevel="0" collapsed="false">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row>
    <row r="406" customFormat="false" ht="14.25" hidden="false" customHeight="true" outlineLevel="0" collapsed="false">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row>
    <row r="407" customFormat="false" ht="14.25" hidden="false" customHeight="true" outlineLevel="0" collapsed="false">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row>
    <row r="408" customFormat="false" ht="14.25" hidden="false" customHeight="true" outlineLevel="0" collapsed="false">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row>
    <row r="409" customFormat="false" ht="14.25" hidden="false" customHeight="true" outlineLevel="0" collapsed="false">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row>
    <row r="410" customFormat="false" ht="14.25" hidden="false" customHeight="true" outlineLevel="0" collapsed="false">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row>
    <row r="411" customFormat="false" ht="14.25" hidden="false" customHeight="true" outlineLevel="0" collapsed="false">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row>
    <row r="412" customFormat="false" ht="14.25" hidden="false" customHeight="true" outlineLevel="0" collapsed="false">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row>
    <row r="413" customFormat="false" ht="14.25" hidden="false" customHeight="true" outlineLevel="0" collapsed="false">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row>
    <row r="414" customFormat="false" ht="14.25" hidden="false" customHeight="true" outlineLevel="0" collapsed="false">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row>
    <row r="415" customFormat="false" ht="14.25" hidden="false" customHeight="true" outlineLevel="0" collapsed="false">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row>
    <row r="416" customFormat="false" ht="14.25" hidden="false" customHeight="true" outlineLevel="0" collapsed="false">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row>
    <row r="417" customFormat="false" ht="14.25" hidden="false" customHeight="true" outlineLevel="0" collapsed="false">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row>
    <row r="418" customFormat="false" ht="14.25" hidden="false" customHeight="true" outlineLevel="0" collapsed="false">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row>
    <row r="419" customFormat="false" ht="14.25" hidden="false" customHeight="true" outlineLevel="0" collapsed="false">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row>
    <row r="420" customFormat="false" ht="14.25" hidden="false" customHeight="true" outlineLevel="0" collapsed="false">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row>
    <row r="421" customFormat="false" ht="14.25" hidden="false" customHeight="true" outlineLevel="0" collapsed="false">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row>
    <row r="422" customFormat="false" ht="14.25" hidden="false" customHeight="true" outlineLevel="0" collapsed="false">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row>
    <row r="423" customFormat="false" ht="14.25" hidden="false" customHeight="true" outlineLevel="0" collapsed="false">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row>
    <row r="424" customFormat="false" ht="14.25" hidden="false" customHeight="true" outlineLevel="0" collapsed="false">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row>
    <row r="425" customFormat="false" ht="14.25" hidden="false" customHeight="true" outlineLevel="0" collapsed="false">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row>
    <row r="426" customFormat="false" ht="14.25" hidden="false" customHeight="true" outlineLevel="0" collapsed="false">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row>
    <row r="427" customFormat="false" ht="14.25" hidden="false" customHeight="true" outlineLevel="0" collapsed="false">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row>
    <row r="428" customFormat="false" ht="14.25" hidden="false" customHeight="true" outlineLevel="0" collapsed="false">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row>
    <row r="429" customFormat="false" ht="14.25" hidden="false" customHeight="true" outlineLevel="0" collapsed="false">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row>
    <row r="430" customFormat="false" ht="14.25" hidden="false" customHeight="true" outlineLevel="0" collapsed="false">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row>
    <row r="431" customFormat="false" ht="14.25" hidden="false" customHeight="true" outlineLevel="0" collapsed="false">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row>
    <row r="432" customFormat="false" ht="14.25" hidden="false" customHeight="true" outlineLevel="0" collapsed="false">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row>
    <row r="433" customFormat="false" ht="14.25" hidden="false" customHeight="true" outlineLevel="0" collapsed="false">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row>
    <row r="434" customFormat="false" ht="14.25" hidden="false" customHeight="true" outlineLevel="0" collapsed="false">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row>
    <row r="435" customFormat="false" ht="14.25" hidden="false" customHeight="true" outlineLevel="0" collapsed="false">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row>
    <row r="436" customFormat="false" ht="14.25" hidden="false" customHeight="true" outlineLevel="0" collapsed="false">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row>
    <row r="437" customFormat="false" ht="14.25" hidden="false" customHeight="true" outlineLevel="0" collapsed="false">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row>
    <row r="438" customFormat="false" ht="14.25" hidden="false" customHeight="true" outlineLevel="0" collapsed="false">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row>
    <row r="439" customFormat="false" ht="14.25" hidden="false" customHeight="true" outlineLevel="0" collapsed="false">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row>
    <row r="440" customFormat="false" ht="14.25" hidden="false" customHeight="true" outlineLevel="0" collapsed="false">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row>
    <row r="441" customFormat="false" ht="14.25" hidden="false" customHeight="true" outlineLevel="0" collapsed="false">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row>
    <row r="442" customFormat="false" ht="14.25" hidden="false" customHeight="true" outlineLevel="0" collapsed="false">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row>
    <row r="443" customFormat="false" ht="14.25" hidden="false" customHeight="true" outlineLevel="0" collapsed="false">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row>
    <row r="444" customFormat="false" ht="14.25" hidden="false" customHeight="true" outlineLevel="0" collapsed="false">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row>
    <row r="445" customFormat="false" ht="14.25" hidden="false" customHeight="true" outlineLevel="0" collapsed="false">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row>
    <row r="446" customFormat="false" ht="14.25" hidden="false" customHeight="true" outlineLevel="0" collapsed="false">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row>
    <row r="447" customFormat="false" ht="14.25" hidden="false" customHeight="true" outlineLevel="0" collapsed="false">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row>
    <row r="448" customFormat="false" ht="14.25" hidden="false" customHeight="true" outlineLevel="0" collapsed="false">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row>
    <row r="449" customFormat="false" ht="14.25" hidden="false" customHeight="true" outlineLevel="0" collapsed="false">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row>
    <row r="450" customFormat="false" ht="14.25" hidden="false" customHeight="true" outlineLevel="0" collapsed="false">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row>
    <row r="451" customFormat="false" ht="14.25" hidden="false" customHeight="true" outlineLevel="0" collapsed="false">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row>
    <row r="452" customFormat="false" ht="14.25" hidden="false" customHeight="true" outlineLevel="0" collapsed="false">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row>
    <row r="453" customFormat="false" ht="14.25" hidden="false" customHeight="true" outlineLevel="0" collapsed="false">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row>
    <row r="454" customFormat="false" ht="14.25" hidden="false" customHeight="true" outlineLevel="0" collapsed="false">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row>
    <row r="455" customFormat="false" ht="14.25" hidden="false" customHeight="true" outlineLevel="0" collapsed="false">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row>
    <row r="456" customFormat="false" ht="14.25" hidden="false" customHeight="true" outlineLevel="0" collapsed="false">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row>
    <row r="457" customFormat="false" ht="14.25" hidden="false" customHeight="true" outlineLevel="0" collapsed="false">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row>
    <row r="458" customFormat="false" ht="14.25" hidden="false" customHeight="true" outlineLevel="0" collapsed="false">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row>
    <row r="459" customFormat="false" ht="14.25" hidden="false" customHeight="true" outlineLevel="0" collapsed="false">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row>
    <row r="460" customFormat="false" ht="14.25" hidden="false" customHeight="true" outlineLevel="0" collapsed="false">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row>
    <row r="461" customFormat="false" ht="14.25" hidden="false" customHeight="true" outlineLevel="0" collapsed="false">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row>
    <row r="462" customFormat="false" ht="14.25" hidden="false" customHeight="true" outlineLevel="0" collapsed="false">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row>
    <row r="463" customFormat="false" ht="14.25" hidden="false" customHeight="true" outlineLevel="0" collapsed="false">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row>
    <row r="464" customFormat="false" ht="14.25" hidden="false" customHeight="true" outlineLevel="0" collapsed="false">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row>
    <row r="465" customFormat="false" ht="14.25" hidden="false" customHeight="true" outlineLevel="0" collapsed="false">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row>
    <row r="466" customFormat="false" ht="14.25" hidden="false" customHeight="true" outlineLevel="0" collapsed="false">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row>
    <row r="467" customFormat="false" ht="14.25" hidden="false" customHeight="true" outlineLevel="0" collapsed="false">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row>
    <row r="468" customFormat="false" ht="14.25" hidden="false" customHeight="true" outlineLevel="0" collapsed="false">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row>
    <row r="469" customFormat="false" ht="14.25" hidden="false" customHeight="true" outlineLevel="0" collapsed="false">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row>
    <row r="470" customFormat="false" ht="14.25" hidden="false" customHeight="true" outlineLevel="0" collapsed="false">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row>
    <row r="471" customFormat="false" ht="14.25" hidden="false" customHeight="true" outlineLevel="0" collapsed="false">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row>
    <row r="472" customFormat="false" ht="14.25" hidden="false" customHeight="true" outlineLevel="0" collapsed="false">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row>
    <row r="473" customFormat="false" ht="14.25" hidden="false" customHeight="true" outlineLevel="0" collapsed="false">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row>
    <row r="474" customFormat="false" ht="14.25" hidden="false" customHeight="true" outlineLevel="0" collapsed="false">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row>
    <row r="475" customFormat="false" ht="14.25" hidden="false" customHeight="true" outlineLevel="0" collapsed="false">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row>
    <row r="476" customFormat="false" ht="14.25" hidden="false" customHeight="true" outlineLevel="0" collapsed="false">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row>
    <row r="477" customFormat="false" ht="14.25" hidden="false" customHeight="true" outlineLevel="0" collapsed="false">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row>
    <row r="478" customFormat="false" ht="14.25" hidden="false" customHeight="true" outlineLevel="0" collapsed="false">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row>
    <row r="479" customFormat="false" ht="14.25" hidden="false" customHeight="true" outlineLevel="0" collapsed="false">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row>
    <row r="480" customFormat="false" ht="14.25" hidden="false" customHeight="true" outlineLevel="0" collapsed="false">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row>
    <row r="481" customFormat="false" ht="14.25" hidden="false" customHeight="true" outlineLevel="0" collapsed="false">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row>
    <row r="482" customFormat="false" ht="14.25" hidden="false" customHeight="true" outlineLevel="0" collapsed="false">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row>
    <row r="483" customFormat="false" ht="14.25" hidden="false" customHeight="true" outlineLevel="0" collapsed="false">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row>
    <row r="484" customFormat="false" ht="14.25" hidden="false" customHeight="true" outlineLevel="0" collapsed="false">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row>
    <row r="485" customFormat="false" ht="14.25" hidden="false" customHeight="true" outlineLevel="0" collapsed="false">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row>
    <row r="486" customFormat="false" ht="14.25" hidden="false" customHeight="true" outlineLevel="0" collapsed="false">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row>
    <row r="487" customFormat="false" ht="14.25" hidden="false" customHeight="true" outlineLevel="0" collapsed="false">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row>
    <row r="488" customFormat="false" ht="14.25" hidden="false" customHeight="true" outlineLevel="0" collapsed="false">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row>
    <row r="489" customFormat="false" ht="14.25" hidden="false" customHeight="true" outlineLevel="0" collapsed="false">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row>
    <row r="490" customFormat="false" ht="14.25" hidden="false" customHeight="true" outlineLevel="0" collapsed="false">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row>
    <row r="491" customFormat="false" ht="14.25" hidden="false" customHeight="true" outlineLevel="0" collapsed="false">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row>
    <row r="492" customFormat="false" ht="14.25" hidden="false" customHeight="true" outlineLevel="0" collapsed="false">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row>
    <row r="493" customFormat="false" ht="14.25" hidden="false" customHeight="true" outlineLevel="0" collapsed="false">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row>
    <row r="494" customFormat="false" ht="14.25" hidden="false" customHeight="true" outlineLevel="0" collapsed="false">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row>
    <row r="495" customFormat="false" ht="14.25" hidden="false" customHeight="true" outlineLevel="0" collapsed="false">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row>
    <row r="496" customFormat="false" ht="14.25" hidden="false" customHeight="true" outlineLevel="0" collapsed="false">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row>
    <row r="497" customFormat="false" ht="14.25" hidden="false" customHeight="true" outlineLevel="0" collapsed="false">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row>
    <row r="498" customFormat="false" ht="14.25" hidden="false" customHeight="true" outlineLevel="0" collapsed="false">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row>
    <row r="499" customFormat="false" ht="14.25" hidden="false" customHeight="true" outlineLevel="0" collapsed="false">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row>
    <row r="500" customFormat="false" ht="14.25" hidden="false" customHeight="true" outlineLevel="0" collapsed="false">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row>
    <row r="501" customFormat="false" ht="14.25" hidden="false" customHeight="true" outlineLevel="0" collapsed="false">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row>
    <row r="502" customFormat="false" ht="14.25" hidden="false" customHeight="true" outlineLevel="0" collapsed="false">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row>
    <row r="503" customFormat="false" ht="14.25" hidden="false" customHeight="true" outlineLevel="0" collapsed="false">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row>
    <row r="504" customFormat="false" ht="14.25" hidden="false" customHeight="true" outlineLevel="0" collapsed="false">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row>
    <row r="505" customFormat="false" ht="14.25" hidden="false" customHeight="true" outlineLevel="0" collapsed="false">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row>
    <row r="506" customFormat="false" ht="14.25" hidden="false" customHeight="true" outlineLevel="0" collapsed="false">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row>
    <row r="507" customFormat="false" ht="14.25" hidden="false" customHeight="true" outlineLevel="0" collapsed="false">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row>
    <row r="508" customFormat="false" ht="14.25" hidden="false" customHeight="true" outlineLevel="0" collapsed="false">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row>
    <row r="509" customFormat="false" ht="14.25" hidden="false" customHeight="true" outlineLevel="0" collapsed="false">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row>
    <row r="510" customFormat="false" ht="14.25" hidden="false" customHeight="true" outlineLevel="0" collapsed="false">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row>
    <row r="511" customFormat="false" ht="14.25" hidden="false" customHeight="true" outlineLevel="0" collapsed="false">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row>
    <row r="512" customFormat="false" ht="14.25" hidden="false" customHeight="true" outlineLevel="0" collapsed="false">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row>
    <row r="513" customFormat="false" ht="14.25" hidden="false" customHeight="true" outlineLevel="0" collapsed="false">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row>
    <row r="514" customFormat="false" ht="14.25" hidden="false" customHeight="true" outlineLevel="0" collapsed="false">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row>
    <row r="515" customFormat="false" ht="14.25" hidden="false" customHeight="true" outlineLevel="0" collapsed="false">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row>
    <row r="516" customFormat="false" ht="14.25" hidden="false" customHeight="true" outlineLevel="0" collapsed="false">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row>
    <row r="517" customFormat="false" ht="14.25" hidden="false" customHeight="true" outlineLevel="0" collapsed="false">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row>
    <row r="518" customFormat="false" ht="14.25" hidden="false" customHeight="true" outlineLevel="0" collapsed="false">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row>
    <row r="519" customFormat="false" ht="14.25" hidden="false" customHeight="true" outlineLevel="0" collapsed="false">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row>
    <row r="520" customFormat="false" ht="14.25" hidden="false" customHeight="true" outlineLevel="0" collapsed="false">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row>
    <row r="521" customFormat="false" ht="14.25" hidden="false" customHeight="true" outlineLevel="0" collapsed="false">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row>
    <row r="522" customFormat="false" ht="14.25" hidden="false" customHeight="true" outlineLevel="0" collapsed="false">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row>
    <row r="523" customFormat="false" ht="14.25" hidden="false" customHeight="true" outlineLevel="0" collapsed="false">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row>
    <row r="524" customFormat="false" ht="14.25" hidden="false" customHeight="true" outlineLevel="0" collapsed="false">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row>
    <row r="525" customFormat="false" ht="14.25" hidden="false" customHeight="true" outlineLevel="0" collapsed="false">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row>
    <row r="526" customFormat="false" ht="14.25" hidden="false" customHeight="true" outlineLevel="0" collapsed="false">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row>
    <row r="527" customFormat="false" ht="14.25" hidden="false" customHeight="true" outlineLevel="0" collapsed="false">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row>
    <row r="528" customFormat="false" ht="14.25" hidden="false" customHeight="true" outlineLevel="0" collapsed="false">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row>
    <row r="529" customFormat="false" ht="14.25" hidden="false" customHeight="true" outlineLevel="0" collapsed="false">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row>
    <row r="530" customFormat="false" ht="14.25" hidden="false" customHeight="true" outlineLevel="0" collapsed="false">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row>
    <row r="531" customFormat="false" ht="14.25" hidden="false" customHeight="true" outlineLevel="0" collapsed="false">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row>
    <row r="532" customFormat="false" ht="14.25" hidden="false" customHeight="true" outlineLevel="0" collapsed="false">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row>
    <row r="533" customFormat="false" ht="14.25" hidden="false" customHeight="true" outlineLevel="0" collapsed="false">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row>
    <row r="534" customFormat="false" ht="14.25" hidden="false" customHeight="true" outlineLevel="0" collapsed="false">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row>
    <row r="535" customFormat="false" ht="14.25" hidden="false" customHeight="true" outlineLevel="0" collapsed="false">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row>
    <row r="536" customFormat="false" ht="14.25" hidden="false" customHeight="true" outlineLevel="0" collapsed="false">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row>
    <row r="537" customFormat="false" ht="14.25" hidden="false" customHeight="true" outlineLevel="0" collapsed="false">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row>
    <row r="538" customFormat="false" ht="14.25" hidden="false" customHeight="true" outlineLevel="0" collapsed="false">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row>
    <row r="539" customFormat="false" ht="14.25" hidden="false" customHeight="true" outlineLevel="0" collapsed="false">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row>
    <row r="540" customFormat="false" ht="14.25" hidden="false" customHeight="true" outlineLevel="0" collapsed="false">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row>
    <row r="541" customFormat="false" ht="14.25" hidden="false" customHeight="true" outlineLevel="0" collapsed="false">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row>
    <row r="542" customFormat="false" ht="14.25" hidden="false" customHeight="true" outlineLevel="0" collapsed="false">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row>
    <row r="543" customFormat="false" ht="14.25" hidden="false" customHeight="true" outlineLevel="0" collapsed="false">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row>
    <row r="544" customFormat="false" ht="14.25" hidden="false" customHeight="true" outlineLevel="0" collapsed="false">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row>
    <row r="545" customFormat="false" ht="14.25" hidden="false" customHeight="true" outlineLevel="0" collapsed="false">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row>
    <row r="546" customFormat="false" ht="14.25" hidden="false" customHeight="true" outlineLevel="0" collapsed="false">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row>
    <row r="547" customFormat="false" ht="14.25" hidden="false" customHeight="true" outlineLevel="0" collapsed="false">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row>
    <row r="548" customFormat="false" ht="14.25" hidden="false" customHeight="true" outlineLevel="0" collapsed="false">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row>
    <row r="549" customFormat="false" ht="14.25" hidden="false" customHeight="true" outlineLevel="0" collapsed="false">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row>
    <row r="550" customFormat="false" ht="14.25" hidden="false" customHeight="true" outlineLevel="0" collapsed="false">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row>
    <row r="551" customFormat="false" ht="14.25" hidden="false" customHeight="true" outlineLevel="0" collapsed="false">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row>
    <row r="552" customFormat="false" ht="14.25" hidden="false" customHeight="true" outlineLevel="0" collapsed="false">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row>
    <row r="553" customFormat="false" ht="14.25" hidden="false" customHeight="true" outlineLevel="0" collapsed="false">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row>
    <row r="554" customFormat="false" ht="14.25" hidden="false" customHeight="true" outlineLevel="0" collapsed="false">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row>
    <row r="555" customFormat="false" ht="14.25" hidden="false" customHeight="true" outlineLevel="0" collapsed="false">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row>
    <row r="556" customFormat="false" ht="14.25" hidden="false" customHeight="true" outlineLevel="0" collapsed="false">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row>
    <row r="557" customFormat="false" ht="14.25" hidden="false" customHeight="true" outlineLevel="0" collapsed="false">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row>
    <row r="558" customFormat="false" ht="14.25" hidden="false" customHeight="true" outlineLevel="0" collapsed="false">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row>
    <row r="559" customFormat="false" ht="14.25" hidden="false" customHeight="true" outlineLevel="0" collapsed="false">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row>
    <row r="560" customFormat="false" ht="14.25" hidden="false" customHeight="true" outlineLevel="0" collapsed="false">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row>
    <row r="561" customFormat="false" ht="14.25" hidden="false" customHeight="true" outlineLevel="0" collapsed="false">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row>
    <row r="562" customFormat="false" ht="14.25" hidden="false" customHeight="true" outlineLevel="0" collapsed="false">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row>
    <row r="563" customFormat="false" ht="14.25" hidden="false" customHeight="true" outlineLevel="0" collapsed="false">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row>
    <row r="564" customFormat="false" ht="14.25" hidden="false" customHeight="true" outlineLevel="0" collapsed="false">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row>
    <row r="565" customFormat="false" ht="14.25" hidden="false" customHeight="true" outlineLevel="0" collapsed="false">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row>
    <row r="566" customFormat="false" ht="14.25" hidden="false" customHeight="true" outlineLevel="0" collapsed="false">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row>
    <row r="567" customFormat="false" ht="14.25" hidden="false" customHeight="true" outlineLevel="0" collapsed="false">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row>
    <row r="568" customFormat="false" ht="14.25" hidden="false" customHeight="true" outlineLevel="0" collapsed="false">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row>
    <row r="569" customFormat="false" ht="14.25" hidden="false" customHeight="true" outlineLevel="0" collapsed="false">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row>
    <row r="570" customFormat="false" ht="14.25" hidden="false" customHeight="true" outlineLevel="0" collapsed="false">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row>
    <row r="571" customFormat="false" ht="14.25" hidden="false" customHeight="true" outlineLevel="0" collapsed="false">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row>
    <row r="572" customFormat="false" ht="14.25" hidden="false" customHeight="true" outlineLevel="0" collapsed="false">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row>
    <row r="573" customFormat="false" ht="14.25" hidden="false" customHeight="true" outlineLevel="0" collapsed="false">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row>
    <row r="574" customFormat="false" ht="14.25" hidden="false" customHeight="true" outlineLevel="0" collapsed="false">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row>
    <row r="575" customFormat="false" ht="14.25" hidden="false" customHeight="true" outlineLevel="0" collapsed="false">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row>
    <row r="576" customFormat="false" ht="14.25" hidden="false" customHeight="true" outlineLevel="0" collapsed="false">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row>
    <row r="577" customFormat="false" ht="14.25" hidden="false" customHeight="true" outlineLevel="0" collapsed="false">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row>
    <row r="578" customFormat="false" ht="14.25" hidden="false" customHeight="true" outlineLevel="0" collapsed="false">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row>
    <row r="579" customFormat="false" ht="14.25" hidden="false" customHeight="true" outlineLevel="0" collapsed="false">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row>
    <row r="580" customFormat="false" ht="14.25" hidden="false" customHeight="true" outlineLevel="0" collapsed="false">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row>
    <row r="581" customFormat="false" ht="14.25" hidden="false" customHeight="true" outlineLevel="0" collapsed="false">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row>
    <row r="582" customFormat="false" ht="14.25" hidden="false" customHeight="true" outlineLevel="0" collapsed="false">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row>
    <row r="583" customFormat="false" ht="14.25" hidden="false" customHeight="true" outlineLevel="0" collapsed="false">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row>
    <row r="584" customFormat="false" ht="14.25" hidden="false" customHeight="true" outlineLevel="0" collapsed="false">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row>
    <row r="585" customFormat="false" ht="14.25" hidden="false" customHeight="true" outlineLevel="0" collapsed="false">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row>
    <row r="586" customFormat="false" ht="14.25" hidden="false" customHeight="true" outlineLevel="0" collapsed="false">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row>
    <row r="587" customFormat="false" ht="14.25" hidden="false" customHeight="true" outlineLevel="0" collapsed="false">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row>
    <row r="588" customFormat="false" ht="14.25" hidden="false" customHeight="true" outlineLevel="0" collapsed="false">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row>
    <row r="589" customFormat="false" ht="14.25" hidden="false" customHeight="true" outlineLevel="0" collapsed="false">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row>
    <row r="590" customFormat="false" ht="14.25" hidden="false" customHeight="true" outlineLevel="0" collapsed="false">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row>
    <row r="591" customFormat="false" ht="14.25" hidden="false" customHeight="true" outlineLevel="0" collapsed="false">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row>
    <row r="592" customFormat="false" ht="14.25" hidden="false" customHeight="true" outlineLevel="0" collapsed="false">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row>
    <row r="593" customFormat="false" ht="14.25" hidden="false" customHeight="true" outlineLevel="0" collapsed="false">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row>
    <row r="594" customFormat="false" ht="14.25" hidden="false" customHeight="true" outlineLevel="0" collapsed="false">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row>
    <row r="595" customFormat="false" ht="14.25" hidden="false" customHeight="true" outlineLevel="0" collapsed="false">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row>
    <row r="596" customFormat="false" ht="14.25" hidden="false" customHeight="true" outlineLevel="0" collapsed="false">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row>
    <row r="597" customFormat="false" ht="14.25" hidden="false" customHeight="true" outlineLevel="0" collapsed="false">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row>
    <row r="598" customFormat="false" ht="14.25" hidden="false" customHeight="true" outlineLevel="0" collapsed="false">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row>
    <row r="599" customFormat="false" ht="14.25" hidden="false" customHeight="true" outlineLevel="0" collapsed="false">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row>
    <row r="600" customFormat="false" ht="14.25" hidden="false" customHeight="true" outlineLevel="0" collapsed="false">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row>
    <row r="601" customFormat="false" ht="14.25" hidden="false" customHeight="true" outlineLevel="0" collapsed="false">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row>
    <row r="602" customFormat="false" ht="14.25" hidden="false" customHeight="true" outlineLevel="0" collapsed="false">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row>
    <row r="603" customFormat="false" ht="14.25" hidden="false" customHeight="true" outlineLevel="0" collapsed="false">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row>
    <row r="604" customFormat="false" ht="14.25" hidden="false" customHeight="true" outlineLevel="0" collapsed="false">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row>
    <row r="605" customFormat="false" ht="14.25" hidden="false" customHeight="true" outlineLevel="0" collapsed="false">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row>
    <row r="606" customFormat="false" ht="14.25" hidden="false" customHeight="true" outlineLevel="0" collapsed="false">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row>
    <row r="607" customFormat="false" ht="14.25" hidden="false" customHeight="true" outlineLevel="0" collapsed="false">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row>
    <row r="608" customFormat="false" ht="14.25" hidden="false" customHeight="true" outlineLevel="0" collapsed="false">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row>
    <row r="609" customFormat="false" ht="14.25" hidden="false" customHeight="true" outlineLevel="0" collapsed="false">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row>
    <row r="610" customFormat="false" ht="14.25" hidden="false" customHeight="true" outlineLevel="0" collapsed="false">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row>
    <row r="611" customFormat="false" ht="14.25" hidden="false" customHeight="true" outlineLevel="0" collapsed="false">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row>
    <row r="612" customFormat="false" ht="14.25" hidden="false" customHeight="true" outlineLevel="0" collapsed="false">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row>
    <row r="613" customFormat="false" ht="14.25" hidden="false" customHeight="true" outlineLevel="0" collapsed="false">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row>
    <row r="614" customFormat="false" ht="14.25" hidden="false" customHeight="true" outlineLevel="0" collapsed="false">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row>
    <row r="615" customFormat="false" ht="14.25" hidden="false" customHeight="true" outlineLevel="0" collapsed="false">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row>
    <row r="616" customFormat="false" ht="14.25" hidden="false" customHeight="true" outlineLevel="0" collapsed="false">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row>
    <row r="617" customFormat="false" ht="14.25" hidden="false" customHeight="true" outlineLevel="0" collapsed="false">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row>
    <row r="618" customFormat="false" ht="14.25" hidden="false" customHeight="true" outlineLevel="0" collapsed="false">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row>
    <row r="619" customFormat="false" ht="14.25" hidden="false" customHeight="true" outlineLevel="0" collapsed="false">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row>
    <row r="620" customFormat="false" ht="14.25" hidden="false" customHeight="true" outlineLevel="0" collapsed="false">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row>
    <row r="621" customFormat="false" ht="14.25" hidden="false" customHeight="true" outlineLevel="0" collapsed="false">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row>
    <row r="622" customFormat="false" ht="14.25" hidden="false" customHeight="true" outlineLevel="0" collapsed="false">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row>
    <row r="623" customFormat="false" ht="14.25" hidden="false" customHeight="true" outlineLevel="0" collapsed="false">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row>
    <row r="624" customFormat="false" ht="14.25" hidden="false" customHeight="true" outlineLevel="0" collapsed="false">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row>
    <row r="625" customFormat="false" ht="14.25" hidden="false" customHeight="true" outlineLevel="0" collapsed="false">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row>
    <row r="626" customFormat="false" ht="14.25" hidden="false" customHeight="true" outlineLevel="0" collapsed="false">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row>
    <row r="627" customFormat="false" ht="14.25" hidden="false" customHeight="true" outlineLevel="0" collapsed="false">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row>
    <row r="628" customFormat="false" ht="14.25" hidden="false" customHeight="true" outlineLevel="0" collapsed="false">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row>
    <row r="629" customFormat="false" ht="14.25" hidden="false" customHeight="true" outlineLevel="0" collapsed="false">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row>
    <row r="630" customFormat="false" ht="14.25" hidden="false" customHeight="true" outlineLevel="0" collapsed="false">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row>
    <row r="631" customFormat="false" ht="14.25" hidden="false" customHeight="true" outlineLevel="0" collapsed="false">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row>
    <row r="632" customFormat="false" ht="14.25" hidden="false" customHeight="true" outlineLevel="0" collapsed="false">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row>
    <row r="633" customFormat="false" ht="14.25" hidden="false" customHeight="true" outlineLevel="0" collapsed="false">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row>
    <row r="634" customFormat="false" ht="14.25" hidden="false" customHeight="true" outlineLevel="0" collapsed="false">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row>
    <row r="635" customFormat="false" ht="14.25" hidden="false" customHeight="true" outlineLevel="0" collapsed="false">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row>
    <row r="636" customFormat="false" ht="14.25" hidden="false" customHeight="true" outlineLevel="0" collapsed="false">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row>
    <row r="637" customFormat="false" ht="14.25" hidden="false" customHeight="true" outlineLevel="0" collapsed="false">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row>
    <row r="638" customFormat="false" ht="14.25" hidden="false" customHeight="true" outlineLevel="0" collapsed="false">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row>
    <row r="639" customFormat="false" ht="14.25" hidden="false" customHeight="true" outlineLevel="0" collapsed="false">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row>
    <row r="640" customFormat="false" ht="14.25" hidden="false" customHeight="true" outlineLevel="0" collapsed="false">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row>
    <row r="641" customFormat="false" ht="14.25" hidden="false" customHeight="true" outlineLevel="0" collapsed="false">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row>
    <row r="642" customFormat="false" ht="14.25" hidden="false" customHeight="true" outlineLevel="0" collapsed="false">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row>
    <row r="643" customFormat="false" ht="14.25" hidden="false" customHeight="true" outlineLevel="0" collapsed="false">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row>
    <row r="644" customFormat="false" ht="14.25" hidden="false" customHeight="true" outlineLevel="0" collapsed="false">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row>
    <row r="645" customFormat="false" ht="14.25" hidden="false" customHeight="true" outlineLevel="0" collapsed="false">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row>
    <row r="646" customFormat="false" ht="14.25" hidden="false" customHeight="true" outlineLevel="0" collapsed="false">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row>
    <row r="647" customFormat="false" ht="14.25" hidden="false" customHeight="true" outlineLevel="0" collapsed="false">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row>
    <row r="648" customFormat="false" ht="14.25" hidden="false" customHeight="true" outlineLevel="0" collapsed="false">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row>
    <row r="649" customFormat="false" ht="14.25" hidden="false" customHeight="true" outlineLevel="0" collapsed="false">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row>
    <row r="650" customFormat="false" ht="14.25" hidden="false" customHeight="true" outlineLevel="0" collapsed="false">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row>
    <row r="651" customFormat="false" ht="14.25" hidden="false" customHeight="true" outlineLevel="0" collapsed="false">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row>
    <row r="652" customFormat="false" ht="14.25" hidden="false" customHeight="true" outlineLevel="0" collapsed="false">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row>
    <row r="653" customFormat="false" ht="14.25" hidden="false" customHeight="true" outlineLevel="0" collapsed="false">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row>
    <row r="654" customFormat="false" ht="14.25" hidden="false" customHeight="true" outlineLevel="0" collapsed="false">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row>
    <row r="655" customFormat="false" ht="14.25" hidden="false" customHeight="true" outlineLevel="0" collapsed="false">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row>
    <row r="656" customFormat="false" ht="14.25" hidden="false" customHeight="true" outlineLevel="0" collapsed="false">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row>
    <row r="657" customFormat="false" ht="14.25" hidden="false" customHeight="true" outlineLevel="0" collapsed="false">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row>
    <row r="658" customFormat="false" ht="14.25" hidden="false" customHeight="true" outlineLevel="0" collapsed="false">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row>
    <row r="659" customFormat="false" ht="14.25" hidden="false" customHeight="true" outlineLevel="0" collapsed="false">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row>
    <row r="660" customFormat="false" ht="14.25" hidden="false" customHeight="true" outlineLevel="0" collapsed="false">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row>
    <row r="661" customFormat="false" ht="14.25" hidden="false" customHeight="true" outlineLevel="0" collapsed="false">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row>
    <row r="662" customFormat="false" ht="14.25" hidden="false" customHeight="true" outlineLevel="0" collapsed="false">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row>
    <row r="663" customFormat="false" ht="14.25" hidden="false" customHeight="true" outlineLevel="0" collapsed="false">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row>
    <row r="664" customFormat="false" ht="14.25" hidden="false" customHeight="true" outlineLevel="0" collapsed="false">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row>
    <row r="665" customFormat="false" ht="14.25" hidden="false" customHeight="true" outlineLevel="0" collapsed="false">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row>
    <row r="666" customFormat="false" ht="14.25" hidden="false" customHeight="true" outlineLevel="0" collapsed="false">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row>
    <row r="667" customFormat="false" ht="14.25" hidden="false" customHeight="true" outlineLevel="0" collapsed="false">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row>
    <row r="668" customFormat="false" ht="14.25" hidden="false" customHeight="true" outlineLevel="0" collapsed="false">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row>
    <row r="669" customFormat="false" ht="14.25" hidden="false" customHeight="true" outlineLevel="0" collapsed="false">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row>
    <row r="670" customFormat="false" ht="14.25" hidden="false" customHeight="true" outlineLevel="0" collapsed="false">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row>
    <row r="671" customFormat="false" ht="14.25" hidden="false" customHeight="true" outlineLevel="0" collapsed="false">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row>
    <row r="672" customFormat="false" ht="14.25" hidden="false" customHeight="true" outlineLevel="0" collapsed="false">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row>
    <row r="673" customFormat="false" ht="14.25" hidden="false" customHeight="true" outlineLevel="0" collapsed="false">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row>
    <row r="674" customFormat="false" ht="14.25" hidden="false" customHeight="true" outlineLevel="0" collapsed="false">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row>
    <row r="675" customFormat="false" ht="14.25" hidden="false" customHeight="true" outlineLevel="0" collapsed="false">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row>
    <row r="676" customFormat="false" ht="14.25" hidden="false" customHeight="true" outlineLevel="0" collapsed="false">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row>
    <row r="677" customFormat="false" ht="14.25" hidden="false" customHeight="true" outlineLevel="0" collapsed="false">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row>
    <row r="678" customFormat="false" ht="14.25" hidden="false" customHeight="true" outlineLevel="0" collapsed="false">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row>
    <row r="679" customFormat="false" ht="14.25" hidden="false" customHeight="true" outlineLevel="0" collapsed="false">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row>
    <row r="680" customFormat="false" ht="14.25" hidden="false" customHeight="true" outlineLevel="0" collapsed="false">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row>
    <row r="681" customFormat="false" ht="14.25" hidden="false" customHeight="true" outlineLevel="0" collapsed="false">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row>
    <row r="682" customFormat="false" ht="14.25" hidden="false" customHeight="true" outlineLevel="0" collapsed="false">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row>
    <row r="683" customFormat="false" ht="14.25" hidden="false" customHeight="true" outlineLevel="0" collapsed="false">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row>
    <row r="684" customFormat="false" ht="14.25" hidden="false" customHeight="true" outlineLevel="0" collapsed="false">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row>
    <row r="685" customFormat="false" ht="14.25" hidden="false" customHeight="true" outlineLevel="0" collapsed="false">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row>
    <row r="686" customFormat="false" ht="14.25" hidden="false" customHeight="true" outlineLevel="0" collapsed="false">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row>
    <row r="687" customFormat="false" ht="14.25" hidden="false" customHeight="true" outlineLevel="0" collapsed="false">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row>
    <row r="688" customFormat="false" ht="14.25" hidden="false" customHeight="true" outlineLevel="0" collapsed="false">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row>
    <row r="689" customFormat="false" ht="14.25" hidden="false" customHeight="true" outlineLevel="0" collapsed="false">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row>
    <row r="690" customFormat="false" ht="14.25" hidden="false" customHeight="true" outlineLevel="0" collapsed="false">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row>
    <row r="691" customFormat="false" ht="14.25" hidden="false" customHeight="true" outlineLevel="0" collapsed="false">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row>
    <row r="692" customFormat="false" ht="14.25" hidden="false" customHeight="true" outlineLevel="0" collapsed="false">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row>
    <row r="693" customFormat="false" ht="14.25" hidden="false" customHeight="true" outlineLevel="0" collapsed="false">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row>
    <row r="694" customFormat="false" ht="14.25" hidden="false" customHeight="true" outlineLevel="0" collapsed="false">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row>
    <row r="695" customFormat="false" ht="14.25" hidden="false" customHeight="true" outlineLevel="0" collapsed="false">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row>
    <row r="696" customFormat="false" ht="14.25" hidden="false" customHeight="true" outlineLevel="0" collapsed="false">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row>
    <row r="697" customFormat="false" ht="14.25" hidden="false" customHeight="true" outlineLevel="0" collapsed="false">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row>
    <row r="698" customFormat="false" ht="14.25" hidden="false" customHeight="true" outlineLevel="0" collapsed="false">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row>
    <row r="699" customFormat="false" ht="14.25" hidden="false" customHeight="true" outlineLevel="0" collapsed="false">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row>
    <row r="700" customFormat="false" ht="14.25" hidden="false" customHeight="true" outlineLevel="0" collapsed="false">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row>
    <row r="701" customFormat="false" ht="14.25" hidden="false" customHeight="true" outlineLevel="0" collapsed="false">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row>
    <row r="702" customFormat="false" ht="14.25" hidden="false" customHeight="true" outlineLevel="0" collapsed="false">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row>
    <row r="703" customFormat="false" ht="14.25" hidden="false" customHeight="true" outlineLevel="0" collapsed="false">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row>
    <row r="704" customFormat="false" ht="14.25" hidden="false" customHeight="true" outlineLevel="0" collapsed="false">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row>
    <row r="705" customFormat="false" ht="14.25" hidden="false" customHeight="true" outlineLevel="0" collapsed="false">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row>
    <row r="706" customFormat="false" ht="14.25" hidden="false" customHeight="true" outlineLevel="0" collapsed="false">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row>
    <row r="707" customFormat="false" ht="14.25" hidden="false" customHeight="true" outlineLevel="0" collapsed="false">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row>
    <row r="708" customFormat="false" ht="14.25" hidden="false" customHeight="true" outlineLevel="0" collapsed="false">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row>
    <row r="709" customFormat="false" ht="14.25" hidden="false" customHeight="true" outlineLevel="0" collapsed="false">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row>
    <row r="710" customFormat="false" ht="14.25" hidden="false" customHeight="true" outlineLevel="0" collapsed="false">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row>
    <row r="711" customFormat="false" ht="14.25" hidden="false" customHeight="true" outlineLevel="0" collapsed="false">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row>
    <row r="712" customFormat="false" ht="14.25" hidden="false" customHeight="true" outlineLevel="0" collapsed="false">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row>
    <row r="713" customFormat="false" ht="14.25" hidden="false" customHeight="true" outlineLevel="0" collapsed="false">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row>
    <row r="714" customFormat="false" ht="14.25" hidden="false" customHeight="true" outlineLevel="0" collapsed="false">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row>
    <row r="715" customFormat="false" ht="14.25" hidden="false" customHeight="true" outlineLevel="0" collapsed="false">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row>
    <row r="716" customFormat="false" ht="14.25" hidden="false" customHeight="true" outlineLevel="0" collapsed="false">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row>
    <row r="717" customFormat="false" ht="14.25" hidden="false" customHeight="true" outlineLevel="0" collapsed="false">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row>
    <row r="718" customFormat="false" ht="14.25" hidden="false" customHeight="true" outlineLevel="0" collapsed="false">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row>
    <row r="719" customFormat="false" ht="14.25" hidden="false" customHeight="true" outlineLevel="0" collapsed="false">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row>
    <row r="720" customFormat="false" ht="14.25" hidden="false" customHeight="true" outlineLevel="0" collapsed="false">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row>
    <row r="721" customFormat="false" ht="14.25" hidden="false" customHeight="true" outlineLevel="0" collapsed="false">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row>
    <row r="722" customFormat="false" ht="14.25" hidden="false" customHeight="true" outlineLevel="0" collapsed="false">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row>
    <row r="723" customFormat="false" ht="14.25" hidden="false" customHeight="true" outlineLevel="0" collapsed="false">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row>
    <row r="724" customFormat="false" ht="14.25" hidden="false" customHeight="true" outlineLevel="0" collapsed="false">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row>
    <row r="725" customFormat="false" ht="14.25" hidden="false" customHeight="true" outlineLevel="0" collapsed="false">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row>
    <row r="726" customFormat="false" ht="14.25" hidden="false" customHeight="true" outlineLevel="0" collapsed="false">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row>
    <row r="727" customFormat="false" ht="14.25" hidden="false" customHeight="true" outlineLevel="0" collapsed="false">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row>
    <row r="728" customFormat="false" ht="14.25" hidden="false" customHeight="true" outlineLevel="0" collapsed="false">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row>
    <row r="729" customFormat="false" ht="14.25" hidden="false" customHeight="true" outlineLevel="0" collapsed="false">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row>
    <row r="730" customFormat="false" ht="14.25" hidden="false" customHeight="true" outlineLevel="0" collapsed="false">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row>
    <row r="731" customFormat="false" ht="14.25" hidden="false" customHeight="true" outlineLevel="0" collapsed="false">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row>
    <row r="732" customFormat="false" ht="14.25" hidden="false" customHeight="true" outlineLevel="0" collapsed="false">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row>
    <row r="733" customFormat="false" ht="14.25" hidden="false" customHeight="true" outlineLevel="0" collapsed="false">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row>
    <row r="734" customFormat="false" ht="14.25" hidden="false" customHeight="true" outlineLevel="0" collapsed="false">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row>
    <row r="735" customFormat="false" ht="14.25" hidden="false" customHeight="true" outlineLevel="0" collapsed="false">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row>
    <row r="736" customFormat="false" ht="14.25" hidden="false" customHeight="true" outlineLevel="0" collapsed="false">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row>
    <row r="737" customFormat="false" ht="14.25" hidden="false" customHeight="true" outlineLevel="0" collapsed="false">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row>
    <row r="738" customFormat="false" ht="14.25" hidden="false" customHeight="true" outlineLevel="0" collapsed="false">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row>
    <row r="739" customFormat="false" ht="14.25" hidden="false" customHeight="true" outlineLevel="0" collapsed="false">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row>
    <row r="740" customFormat="false" ht="14.25" hidden="false" customHeight="true" outlineLevel="0" collapsed="false">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row>
    <row r="741" customFormat="false" ht="14.25" hidden="false" customHeight="true" outlineLevel="0" collapsed="false">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row>
    <row r="742" customFormat="false" ht="14.25" hidden="false" customHeight="true" outlineLevel="0" collapsed="false">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row>
    <row r="743" customFormat="false" ht="14.25" hidden="false" customHeight="true" outlineLevel="0" collapsed="false">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row>
    <row r="744" customFormat="false" ht="14.25" hidden="false" customHeight="true" outlineLevel="0" collapsed="false">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row>
    <row r="745" customFormat="false" ht="14.25" hidden="false" customHeight="true" outlineLevel="0" collapsed="false">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row>
    <row r="746" customFormat="false" ht="14.25" hidden="false" customHeight="true" outlineLevel="0" collapsed="false">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row>
    <row r="747" customFormat="false" ht="14.25" hidden="false" customHeight="true" outlineLevel="0" collapsed="false">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row>
    <row r="748" customFormat="false" ht="14.25" hidden="false" customHeight="true" outlineLevel="0" collapsed="false">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row>
    <row r="749" customFormat="false" ht="14.25" hidden="false" customHeight="true" outlineLevel="0" collapsed="false">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row>
    <row r="750" customFormat="false" ht="14.25" hidden="false" customHeight="true" outlineLevel="0" collapsed="false">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row>
    <row r="751" customFormat="false" ht="14.25" hidden="false" customHeight="true" outlineLevel="0" collapsed="false">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row>
    <row r="752" customFormat="false" ht="14.25" hidden="false" customHeight="true" outlineLevel="0" collapsed="false">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row>
    <row r="753" customFormat="false" ht="14.25" hidden="false" customHeight="true" outlineLevel="0" collapsed="false">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row>
    <row r="754" customFormat="false" ht="14.25" hidden="false" customHeight="true" outlineLevel="0" collapsed="false">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row>
    <row r="755" customFormat="false" ht="14.25" hidden="false" customHeight="true" outlineLevel="0" collapsed="false">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row>
    <row r="756" customFormat="false" ht="14.25" hidden="false" customHeight="true" outlineLevel="0" collapsed="false">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row>
    <row r="757" customFormat="false" ht="14.25" hidden="false" customHeight="true" outlineLevel="0" collapsed="false">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row>
    <row r="758" customFormat="false" ht="14.25" hidden="false" customHeight="true" outlineLevel="0" collapsed="false">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row>
    <row r="759" customFormat="false" ht="14.25" hidden="false" customHeight="true" outlineLevel="0" collapsed="false">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row>
    <row r="760" customFormat="false" ht="14.25" hidden="false" customHeight="true" outlineLevel="0" collapsed="false">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row>
    <row r="761" customFormat="false" ht="14.25" hidden="false" customHeight="true" outlineLevel="0" collapsed="false">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row>
    <row r="762" customFormat="false" ht="14.25" hidden="false" customHeight="true" outlineLevel="0" collapsed="false">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row>
    <row r="763" customFormat="false" ht="14.25" hidden="false" customHeight="true" outlineLevel="0" collapsed="false">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row>
    <row r="764" customFormat="false" ht="14.25" hidden="false" customHeight="true" outlineLevel="0" collapsed="false">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row>
    <row r="765" customFormat="false" ht="14.25" hidden="false" customHeight="true" outlineLevel="0" collapsed="false">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row>
    <row r="766" customFormat="false" ht="14.25" hidden="false" customHeight="true" outlineLevel="0" collapsed="false">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row>
    <row r="767" customFormat="false" ht="14.25" hidden="false" customHeight="true" outlineLevel="0" collapsed="false">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row>
    <row r="768" customFormat="false" ht="14.25" hidden="false" customHeight="true" outlineLevel="0" collapsed="false">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row>
    <row r="769" customFormat="false" ht="14.25" hidden="false" customHeight="true" outlineLevel="0" collapsed="false">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row>
    <row r="770" customFormat="false" ht="14.25" hidden="false" customHeight="true" outlineLevel="0" collapsed="false">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row>
    <row r="771" customFormat="false" ht="14.25" hidden="false" customHeight="true" outlineLevel="0" collapsed="false">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row>
    <row r="772" customFormat="false" ht="14.25" hidden="false" customHeight="true" outlineLevel="0" collapsed="false">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row>
    <row r="773" customFormat="false" ht="14.25" hidden="false" customHeight="true" outlineLevel="0" collapsed="false">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row>
    <row r="774" customFormat="false" ht="14.25" hidden="false" customHeight="true" outlineLevel="0" collapsed="false">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row>
    <row r="775" customFormat="false" ht="14.25" hidden="false" customHeight="true" outlineLevel="0" collapsed="false">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row>
    <row r="776" customFormat="false" ht="14.25" hidden="false" customHeight="true" outlineLevel="0" collapsed="false">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row>
    <row r="777" customFormat="false" ht="14.25" hidden="false" customHeight="true" outlineLevel="0" collapsed="false">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row>
    <row r="778" customFormat="false" ht="14.25" hidden="false" customHeight="true" outlineLevel="0" collapsed="false">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row>
    <row r="779" customFormat="false" ht="14.25" hidden="false" customHeight="true" outlineLevel="0" collapsed="false">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row>
    <row r="780" customFormat="false" ht="14.25" hidden="false" customHeight="true" outlineLevel="0" collapsed="false">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row>
    <row r="781" customFormat="false" ht="14.25" hidden="false" customHeight="true" outlineLevel="0" collapsed="false">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row>
    <row r="782" customFormat="false" ht="14.25" hidden="false" customHeight="true" outlineLevel="0" collapsed="false">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row>
    <row r="783" customFormat="false" ht="14.25" hidden="false" customHeight="true" outlineLevel="0" collapsed="false">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row>
    <row r="784" customFormat="false" ht="14.25" hidden="false" customHeight="true" outlineLevel="0" collapsed="false">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row>
    <row r="785" customFormat="false" ht="14.25" hidden="false" customHeight="true" outlineLevel="0" collapsed="false">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row>
    <row r="786" customFormat="false" ht="14.25" hidden="false" customHeight="true" outlineLevel="0" collapsed="false">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row>
    <row r="787" customFormat="false" ht="14.25" hidden="false" customHeight="true" outlineLevel="0" collapsed="false">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row>
    <row r="788" customFormat="false" ht="14.25" hidden="false" customHeight="true" outlineLevel="0" collapsed="false">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row>
    <row r="789" customFormat="false" ht="14.25" hidden="false" customHeight="true" outlineLevel="0" collapsed="false">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row>
    <row r="790" customFormat="false" ht="14.25" hidden="false" customHeight="true" outlineLevel="0" collapsed="false">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row>
    <row r="791" customFormat="false" ht="14.25" hidden="false" customHeight="true" outlineLevel="0" collapsed="false">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row>
    <row r="792" customFormat="false" ht="14.25" hidden="false" customHeight="true" outlineLevel="0" collapsed="false">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row>
    <row r="793" customFormat="false" ht="14.25" hidden="false" customHeight="true" outlineLevel="0" collapsed="false">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row>
    <row r="794" customFormat="false" ht="14.25" hidden="false" customHeight="true" outlineLevel="0" collapsed="false">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row>
    <row r="795" customFormat="false" ht="14.25" hidden="false" customHeight="true" outlineLevel="0" collapsed="false">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row>
    <row r="796" customFormat="false" ht="14.25" hidden="false" customHeight="true" outlineLevel="0" collapsed="false">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row>
    <row r="797" customFormat="false" ht="14.25" hidden="false" customHeight="true" outlineLevel="0" collapsed="false">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row>
    <row r="798" customFormat="false" ht="14.25" hidden="false" customHeight="true" outlineLevel="0" collapsed="false">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row>
    <row r="799" customFormat="false" ht="14.25" hidden="false" customHeight="true" outlineLevel="0" collapsed="false">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row>
    <row r="800" customFormat="false" ht="14.25" hidden="false" customHeight="true" outlineLevel="0" collapsed="false">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row>
    <row r="801" customFormat="false" ht="14.25" hidden="false" customHeight="true" outlineLevel="0" collapsed="false">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row>
    <row r="802" customFormat="false" ht="14.25" hidden="false" customHeight="true" outlineLevel="0" collapsed="false">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row>
    <row r="803" customFormat="false" ht="14.25" hidden="false" customHeight="true" outlineLevel="0" collapsed="false">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row>
    <row r="804" customFormat="false" ht="14.25" hidden="false" customHeight="true" outlineLevel="0" collapsed="false">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row>
    <row r="805" customFormat="false" ht="14.25" hidden="false" customHeight="true" outlineLevel="0" collapsed="false">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row>
    <row r="806" customFormat="false" ht="14.25" hidden="false" customHeight="true" outlineLevel="0" collapsed="false">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row>
    <row r="807" customFormat="false" ht="14.25" hidden="false" customHeight="true" outlineLevel="0" collapsed="false">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row>
    <row r="808" customFormat="false" ht="14.25" hidden="false" customHeight="true" outlineLevel="0" collapsed="false">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row>
    <row r="809" customFormat="false" ht="14.25" hidden="false" customHeight="true" outlineLevel="0" collapsed="false">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row>
    <row r="810" customFormat="false" ht="14.25" hidden="false" customHeight="true" outlineLevel="0" collapsed="false">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row>
    <row r="811" customFormat="false" ht="14.25" hidden="false" customHeight="true" outlineLevel="0" collapsed="false">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row>
    <row r="812" customFormat="false" ht="14.25" hidden="false" customHeight="true" outlineLevel="0" collapsed="false">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row>
    <row r="813" customFormat="false" ht="14.25" hidden="false" customHeight="true" outlineLevel="0" collapsed="false">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row>
    <row r="814" customFormat="false" ht="14.25" hidden="false" customHeight="true" outlineLevel="0" collapsed="false">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row>
    <row r="815" customFormat="false" ht="14.25" hidden="false" customHeight="true" outlineLevel="0" collapsed="false">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row>
    <row r="816" customFormat="false" ht="14.25" hidden="false" customHeight="true" outlineLevel="0" collapsed="false">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row>
    <row r="817" customFormat="false" ht="14.25" hidden="false" customHeight="true" outlineLevel="0" collapsed="false">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row>
    <row r="818" customFormat="false" ht="14.25" hidden="false" customHeight="true" outlineLevel="0" collapsed="false">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row>
    <row r="819" customFormat="false" ht="14.25" hidden="false" customHeight="true" outlineLevel="0" collapsed="false">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row>
    <row r="820" customFormat="false" ht="14.25" hidden="false" customHeight="true" outlineLevel="0" collapsed="false">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row>
    <row r="821" customFormat="false" ht="14.25" hidden="false" customHeight="true" outlineLevel="0" collapsed="false">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row>
    <row r="822" customFormat="false" ht="14.25" hidden="false" customHeight="true" outlineLevel="0" collapsed="false">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row>
    <row r="823" customFormat="false" ht="14.25" hidden="false" customHeight="true" outlineLevel="0" collapsed="false">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row>
    <row r="824" customFormat="false" ht="14.25" hidden="false" customHeight="true" outlineLevel="0" collapsed="false">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row>
    <row r="825" customFormat="false" ht="14.25" hidden="false" customHeight="true" outlineLevel="0" collapsed="false">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row>
    <row r="826" customFormat="false" ht="14.25" hidden="false" customHeight="true" outlineLevel="0" collapsed="false">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row>
    <row r="827" customFormat="false" ht="14.25" hidden="false" customHeight="true" outlineLevel="0" collapsed="false">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row>
    <row r="828" customFormat="false" ht="14.25" hidden="false" customHeight="true" outlineLevel="0" collapsed="false">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row>
    <row r="829" customFormat="false" ht="14.25" hidden="false" customHeight="true" outlineLevel="0" collapsed="false">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row>
    <row r="830" customFormat="false" ht="14.25" hidden="false" customHeight="true" outlineLevel="0" collapsed="false">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row>
    <row r="831" customFormat="false" ht="14.25" hidden="false" customHeight="true" outlineLevel="0" collapsed="false">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row>
    <row r="832" customFormat="false" ht="14.25" hidden="false" customHeight="true" outlineLevel="0" collapsed="false">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row>
    <row r="833" customFormat="false" ht="14.25" hidden="false" customHeight="true" outlineLevel="0" collapsed="false">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row>
    <row r="834" customFormat="false" ht="14.25" hidden="false" customHeight="true" outlineLevel="0" collapsed="false">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row>
    <row r="835" customFormat="false" ht="14.25" hidden="false" customHeight="true" outlineLevel="0" collapsed="false">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row>
    <row r="836" customFormat="false" ht="14.25" hidden="false" customHeight="true" outlineLevel="0" collapsed="false">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row>
    <row r="837" customFormat="false" ht="14.25" hidden="false" customHeight="true" outlineLevel="0" collapsed="false">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row>
    <row r="838" customFormat="false" ht="14.25" hidden="false" customHeight="true" outlineLevel="0" collapsed="false">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row>
    <row r="839" customFormat="false" ht="14.25" hidden="false" customHeight="true" outlineLevel="0" collapsed="false">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row>
    <row r="840" customFormat="false" ht="14.25" hidden="false" customHeight="true" outlineLevel="0" collapsed="false">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row>
    <row r="841" customFormat="false" ht="14.25" hidden="false" customHeight="true" outlineLevel="0" collapsed="false">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row>
    <row r="842" customFormat="false" ht="14.25" hidden="false" customHeight="true" outlineLevel="0" collapsed="false">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row>
    <row r="843" customFormat="false" ht="14.25" hidden="false" customHeight="true" outlineLevel="0" collapsed="false">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row>
    <row r="844" customFormat="false" ht="14.25" hidden="false" customHeight="true" outlineLevel="0" collapsed="false">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row>
    <row r="845" customFormat="false" ht="14.25" hidden="false" customHeight="true" outlineLevel="0" collapsed="false">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row>
    <row r="846" customFormat="false" ht="14.25" hidden="false" customHeight="true" outlineLevel="0" collapsed="false">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row>
    <row r="847" customFormat="false" ht="14.25" hidden="false" customHeight="true" outlineLevel="0" collapsed="false">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row>
    <row r="848" customFormat="false" ht="14.25" hidden="false" customHeight="true" outlineLevel="0" collapsed="false">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row>
    <row r="849" customFormat="false" ht="14.25" hidden="false" customHeight="true" outlineLevel="0" collapsed="false">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row>
    <row r="850" customFormat="false" ht="14.25" hidden="false" customHeight="true" outlineLevel="0" collapsed="false">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row>
    <row r="851" customFormat="false" ht="14.25" hidden="false" customHeight="true" outlineLevel="0" collapsed="false">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row>
    <row r="852" customFormat="false" ht="14.25" hidden="false" customHeight="true" outlineLevel="0" collapsed="false">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row>
    <row r="853" customFormat="false" ht="14.25" hidden="false" customHeight="true" outlineLevel="0" collapsed="false">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row>
    <row r="854" customFormat="false" ht="14.25" hidden="false" customHeight="true" outlineLevel="0" collapsed="false">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row>
    <row r="855" customFormat="false" ht="14.25" hidden="false" customHeight="true" outlineLevel="0" collapsed="false">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row>
    <row r="856" customFormat="false" ht="14.25" hidden="false" customHeight="true" outlineLevel="0" collapsed="false">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row>
    <row r="857" customFormat="false" ht="14.25" hidden="false" customHeight="true" outlineLevel="0" collapsed="false">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row>
    <row r="858" customFormat="false" ht="14.25" hidden="false" customHeight="true" outlineLevel="0" collapsed="false">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row>
    <row r="859" customFormat="false" ht="14.25" hidden="false" customHeight="true" outlineLevel="0" collapsed="false">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row>
    <row r="860" customFormat="false" ht="14.25" hidden="false" customHeight="true" outlineLevel="0" collapsed="false">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row>
    <row r="861" customFormat="false" ht="14.25" hidden="false" customHeight="true" outlineLevel="0" collapsed="false">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row>
    <row r="862" customFormat="false" ht="14.25" hidden="false" customHeight="true" outlineLevel="0" collapsed="false">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row>
    <row r="863" customFormat="false" ht="14.25" hidden="false" customHeight="true" outlineLevel="0" collapsed="false">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row>
    <row r="864" customFormat="false" ht="14.25" hidden="false" customHeight="true" outlineLevel="0" collapsed="false">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row>
    <row r="865" customFormat="false" ht="14.25" hidden="false" customHeight="true" outlineLevel="0" collapsed="false">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row>
    <row r="866" customFormat="false" ht="14.25" hidden="false" customHeight="true" outlineLevel="0" collapsed="false">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row>
    <row r="867" customFormat="false" ht="14.25" hidden="false" customHeight="true" outlineLevel="0" collapsed="false">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row>
    <row r="868" customFormat="false" ht="14.25" hidden="false" customHeight="true" outlineLevel="0" collapsed="false">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row>
    <row r="869" customFormat="false" ht="14.25" hidden="false" customHeight="true" outlineLevel="0" collapsed="false">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row>
    <row r="870" customFormat="false" ht="14.25" hidden="false" customHeight="true" outlineLevel="0" collapsed="false">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row>
    <row r="871" customFormat="false" ht="14.25" hidden="false" customHeight="true" outlineLevel="0" collapsed="false">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row>
    <row r="872" customFormat="false" ht="14.25" hidden="false" customHeight="true" outlineLevel="0" collapsed="false">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row>
    <row r="873" customFormat="false" ht="14.25" hidden="false" customHeight="true" outlineLevel="0" collapsed="false">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row>
    <row r="874" customFormat="false" ht="14.25" hidden="false" customHeight="true" outlineLevel="0" collapsed="false">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row>
    <row r="875" customFormat="false" ht="14.25" hidden="false" customHeight="true" outlineLevel="0" collapsed="false">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row>
    <row r="876" customFormat="false" ht="14.25" hidden="false" customHeight="true" outlineLevel="0" collapsed="false">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row>
    <row r="877" customFormat="false" ht="14.25" hidden="false" customHeight="true" outlineLevel="0" collapsed="false">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row>
    <row r="878" customFormat="false" ht="14.25" hidden="false" customHeight="true" outlineLevel="0" collapsed="false">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row>
    <row r="879" customFormat="false" ht="14.25" hidden="false" customHeight="true" outlineLevel="0" collapsed="false">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row>
    <row r="880" customFormat="false" ht="14.25" hidden="false" customHeight="true" outlineLevel="0" collapsed="false">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row>
    <row r="881" customFormat="false" ht="14.25" hidden="false" customHeight="true" outlineLevel="0" collapsed="false">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row>
    <row r="882" customFormat="false" ht="14.25" hidden="false" customHeight="true" outlineLevel="0" collapsed="false">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row>
    <row r="883" customFormat="false" ht="14.25" hidden="false" customHeight="true" outlineLevel="0" collapsed="false">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row>
    <row r="884" customFormat="false" ht="14.25" hidden="false" customHeight="true" outlineLevel="0" collapsed="false">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row>
    <row r="885" customFormat="false" ht="14.25" hidden="false" customHeight="true" outlineLevel="0" collapsed="false">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row>
    <row r="886" customFormat="false" ht="14.25" hidden="false" customHeight="true" outlineLevel="0" collapsed="false">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row>
    <row r="887" customFormat="false" ht="14.25" hidden="false" customHeight="true" outlineLevel="0" collapsed="false">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row>
    <row r="888" customFormat="false" ht="14.25" hidden="false" customHeight="true" outlineLevel="0" collapsed="false">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row>
    <row r="889" customFormat="false" ht="14.25" hidden="false" customHeight="true" outlineLevel="0" collapsed="false">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row>
    <row r="890" customFormat="false" ht="14.25" hidden="false" customHeight="true" outlineLevel="0" collapsed="false">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row>
    <row r="891" customFormat="false" ht="14.25" hidden="false" customHeight="true" outlineLevel="0" collapsed="false">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row>
    <row r="892" customFormat="false" ht="14.25" hidden="false" customHeight="true" outlineLevel="0" collapsed="false">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row>
    <row r="893" customFormat="false" ht="14.25" hidden="false" customHeight="true" outlineLevel="0" collapsed="false">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row>
    <row r="894" customFormat="false" ht="14.25" hidden="false" customHeight="true" outlineLevel="0" collapsed="false">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row>
    <row r="895" customFormat="false" ht="14.25" hidden="false" customHeight="true" outlineLevel="0" collapsed="false">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row>
    <row r="896" customFormat="false" ht="14.25" hidden="false" customHeight="true" outlineLevel="0" collapsed="false">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row>
    <row r="897" customFormat="false" ht="14.25" hidden="false" customHeight="true" outlineLevel="0" collapsed="false">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row>
    <row r="898" customFormat="false" ht="14.25" hidden="false" customHeight="true" outlineLevel="0" collapsed="false">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row>
    <row r="899" customFormat="false" ht="14.25" hidden="false" customHeight="true" outlineLevel="0" collapsed="false">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row>
    <row r="900" customFormat="false" ht="14.25" hidden="false" customHeight="true" outlineLevel="0" collapsed="false">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row>
    <row r="901" customFormat="false" ht="14.25" hidden="false" customHeight="true" outlineLevel="0" collapsed="false">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row>
    <row r="902" customFormat="false" ht="14.25" hidden="false" customHeight="true" outlineLevel="0" collapsed="false">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row>
    <row r="903" customFormat="false" ht="14.25" hidden="false" customHeight="true" outlineLevel="0" collapsed="false">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row>
    <row r="904" customFormat="false" ht="14.25" hidden="false" customHeight="true" outlineLevel="0" collapsed="false">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row>
    <row r="905" customFormat="false" ht="14.25" hidden="false" customHeight="true" outlineLevel="0" collapsed="false">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row>
    <row r="906" customFormat="false" ht="14.25" hidden="false" customHeight="true" outlineLevel="0" collapsed="false">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row>
    <row r="907" customFormat="false" ht="14.25" hidden="false" customHeight="true" outlineLevel="0" collapsed="false">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row>
    <row r="908" customFormat="false" ht="14.25" hidden="false" customHeight="true" outlineLevel="0" collapsed="false">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row>
    <row r="909" customFormat="false" ht="14.25" hidden="false" customHeight="true" outlineLevel="0" collapsed="false">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row>
    <row r="910" customFormat="false" ht="14.25" hidden="false" customHeight="true" outlineLevel="0" collapsed="false">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row>
    <row r="911" customFormat="false" ht="14.25" hidden="false" customHeight="true" outlineLevel="0" collapsed="false">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row>
    <row r="912" customFormat="false" ht="14.25" hidden="false" customHeight="true" outlineLevel="0" collapsed="false">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row>
    <row r="913" customFormat="false" ht="14.25" hidden="false" customHeight="true" outlineLevel="0" collapsed="false">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row>
    <row r="914" customFormat="false" ht="14.25" hidden="false" customHeight="true" outlineLevel="0" collapsed="false">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row>
    <row r="915" customFormat="false" ht="14.25" hidden="false" customHeight="true" outlineLevel="0" collapsed="false">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row>
    <row r="916" customFormat="false" ht="15" hidden="false" customHeight="true" outlineLevel="0" collapsed="false">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row>
  </sheetData>
  <mergeCells count="43">
    <mergeCell ref="A1:K1"/>
    <mergeCell ref="A2:K2"/>
    <mergeCell ref="G3:K3"/>
    <mergeCell ref="H4:I4"/>
    <mergeCell ref="J4:K4"/>
    <mergeCell ref="H5:I5"/>
    <mergeCell ref="H6:I6"/>
    <mergeCell ref="H7:I7"/>
    <mergeCell ref="H8:I8"/>
    <mergeCell ref="H9:I9"/>
    <mergeCell ref="H10:I10"/>
    <mergeCell ref="H13:I13"/>
    <mergeCell ref="H18:I18"/>
    <mergeCell ref="H19:I19"/>
    <mergeCell ref="H20:I20"/>
    <mergeCell ref="H21:I21"/>
    <mergeCell ref="H25:I25"/>
    <mergeCell ref="H30:I30"/>
    <mergeCell ref="H31:I31"/>
    <mergeCell ref="H32:I32"/>
    <mergeCell ref="H34:I34"/>
    <mergeCell ref="H35:I35"/>
    <mergeCell ref="H36:I36"/>
    <mergeCell ref="H37:I37"/>
    <mergeCell ref="H39:I39"/>
    <mergeCell ref="H41:I41"/>
    <mergeCell ref="H43:I43"/>
    <mergeCell ref="H47:I47"/>
    <mergeCell ref="H50:I50"/>
    <mergeCell ref="H51:I51"/>
    <mergeCell ref="H52:I52"/>
    <mergeCell ref="H53:I53"/>
    <mergeCell ref="H54:I54"/>
    <mergeCell ref="H55:I55"/>
    <mergeCell ref="H56:I56"/>
    <mergeCell ref="H58:I58"/>
    <mergeCell ref="H59:I59"/>
    <mergeCell ref="H60:I60"/>
    <mergeCell ref="H61:I61"/>
    <mergeCell ref="H64:I64"/>
    <mergeCell ref="H70:I70"/>
    <mergeCell ref="A71:B71"/>
    <mergeCell ref="H71:I71"/>
  </mergeCells>
  <hyperlinks>
    <hyperlink ref="A85" r:id="rId2" display="5. GST should also be included &amp; considered in the Budget expense numbers above. In case of confusion on the rates applicable, refer the below link"/>
  </hyperlinks>
  <printOptions headings="false" gridLines="false" gridLinesSet="true" horizontalCentered="false" verticalCentered="false"/>
  <pageMargins left="0.340277777777778" right="0.170138888888889" top="0.340277777777778" bottom="0.25" header="0.511811023622047" footer="0.511811023622047"/>
  <pageSetup paperSize="1" scale="66"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7.86"/>
    <col collapsed="false" customWidth="true" hidden="false" outlineLevel="0" max="2" min="2" style="1" width="53"/>
    <col collapsed="false" customWidth="true" hidden="false" outlineLevel="0" max="3" min="3" style="1" width="9.14"/>
    <col collapsed="false" customWidth="true" hidden="false" outlineLevel="0" max="4" min="4" style="1" width="16"/>
    <col collapsed="false" customWidth="true" hidden="false" outlineLevel="0" max="5" min="5" style="1" width="11.57"/>
    <col collapsed="false" customWidth="true" hidden="false" outlineLevel="0" max="6" min="6" style="1" width="23.14"/>
    <col collapsed="false" customWidth="true" hidden="false" outlineLevel="0" max="7" min="7" style="1" width="12.86"/>
    <col collapsed="false" customWidth="true" hidden="false" outlineLevel="0" max="8" min="8" style="1" width="14.86"/>
    <col collapsed="false" customWidth="true" hidden="false" outlineLevel="0" max="9" min="9" style="1" width="12.57"/>
    <col collapsed="false" customWidth="true" hidden="false" outlineLevel="0" max="10" min="10" style="1" width="12.43"/>
    <col collapsed="false" customWidth="true" hidden="false" outlineLevel="0" max="26" min="11" style="1" width="9.14"/>
  </cols>
  <sheetData>
    <row r="1" customFormat="false" ht="16.5" hidden="false" customHeight="true" outlineLevel="0" collapsed="false">
      <c r="A1" s="44" t="s">
        <v>5</v>
      </c>
      <c r="B1" s="44"/>
      <c r="C1" s="44"/>
      <c r="D1" s="44"/>
      <c r="E1" s="44"/>
      <c r="F1" s="44"/>
      <c r="G1" s="44"/>
      <c r="H1" s="44"/>
      <c r="I1" s="44"/>
      <c r="J1" s="44"/>
      <c r="K1" s="45"/>
      <c r="L1" s="45"/>
      <c r="M1" s="45"/>
      <c r="N1" s="45"/>
      <c r="O1" s="45"/>
      <c r="P1" s="45"/>
      <c r="Q1" s="45"/>
      <c r="R1" s="45"/>
      <c r="S1" s="45"/>
      <c r="T1" s="45"/>
      <c r="U1" s="45"/>
      <c r="V1" s="45"/>
      <c r="W1" s="45"/>
      <c r="X1" s="45"/>
      <c r="Y1" s="45"/>
      <c r="Z1" s="45"/>
    </row>
    <row r="2" customFormat="false" ht="16.5" hidden="false" customHeight="true" outlineLevel="0" collapsed="false">
      <c r="A2" s="44" t="str">
        <f aca="false">CONCATENATE("DEPARTMENTAL CAPEX BUDGET - ",List!$C$4)</f>
        <v>DEPARTMENTAL CAPEX BUDGET - 2026-27</v>
      </c>
      <c r="B2" s="44"/>
      <c r="C2" s="44"/>
      <c r="D2" s="44"/>
      <c r="E2" s="44"/>
      <c r="F2" s="44"/>
      <c r="G2" s="44"/>
      <c r="H2" s="44"/>
      <c r="I2" s="44"/>
      <c r="J2" s="44"/>
      <c r="K2" s="45"/>
      <c r="L2" s="45"/>
      <c r="M2" s="45"/>
      <c r="N2" s="45"/>
      <c r="O2" s="45"/>
      <c r="P2" s="45"/>
      <c r="Q2" s="45"/>
      <c r="R2" s="45"/>
      <c r="S2" s="45"/>
      <c r="T2" s="45"/>
      <c r="U2" s="45"/>
      <c r="V2" s="45"/>
      <c r="W2" s="45"/>
      <c r="X2" s="45"/>
      <c r="Y2" s="45"/>
      <c r="Z2" s="45"/>
    </row>
    <row r="3" customFormat="false" ht="21.75" hidden="false" customHeight="true" outlineLevel="0" collapsed="false">
      <c r="A3" s="47" t="s">
        <v>234</v>
      </c>
      <c r="B3" s="48"/>
      <c r="C3" s="48"/>
      <c r="D3" s="48"/>
      <c r="E3" s="50"/>
      <c r="F3" s="89" t="str">
        <f aca="false">CONCATENATE("ACADEMIC YEAR - ",List!C4)</f>
        <v>ACADEMIC YEAR - 2026-27</v>
      </c>
      <c r="G3" s="89"/>
      <c r="H3" s="89"/>
      <c r="I3" s="89"/>
      <c r="J3" s="89"/>
      <c r="K3" s="45"/>
      <c r="L3" s="45"/>
      <c r="M3" s="45"/>
      <c r="N3" s="45"/>
      <c r="O3" s="45"/>
      <c r="P3" s="45"/>
      <c r="Q3" s="45"/>
      <c r="R3" s="45"/>
      <c r="S3" s="45"/>
      <c r="T3" s="45"/>
      <c r="U3" s="45"/>
      <c r="V3" s="45"/>
      <c r="W3" s="45"/>
      <c r="X3" s="45"/>
      <c r="Y3" s="45"/>
      <c r="Z3" s="45"/>
    </row>
    <row r="4" customFormat="false" ht="21.75" hidden="false" customHeight="true" outlineLevel="0" collapsed="false">
      <c r="A4" s="52" t="s">
        <v>7</v>
      </c>
      <c r="B4" s="58" t="s">
        <v>8</v>
      </c>
      <c r="C4" s="58"/>
      <c r="D4" s="58"/>
      <c r="E4" s="54"/>
      <c r="F4" s="89" t="s">
        <v>235</v>
      </c>
      <c r="G4" s="89"/>
      <c r="H4" s="89"/>
      <c r="I4" s="89"/>
      <c r="J4" s="89"/>
      <c r="K4" s="45"/>
      <c r="L4" s="45"/>
      <c r="M4" s="45"/>
      <c r="N4" s="45"/>
      <c r="O4" s="45"/>
      <c r="P4" s="45"/>
      <c r="Q4" s="45"/>
      <c r="R4" s="45"/>
      <c r="S4" s="45"/>
      <c r="T4" s="45"/>
      <c r="U4" s="45"/>
      <c r="V4" s="45"/>
      <c r="W4" s="45"/>
      <c r="X4" s="45"/>
      <c r="Y4" s="45"/>
      <c r="Z4" s="45"/>
    </row>
    <row r="5" customFormat="false" ht="60" hidden="false" customHeight="true" outlineLevel="0" collapsed="false">
      <c r="A5" s="135" t="s">
        <v>34</v>
      </c>
      <c r="B5" s="135" t="s">
        <v>236</v>
      </c>
      <c r="C5" s="135" t="s">
        <v>237</v>
      </c>
      <c r="D5" s="135" t="s">
        <v>238</v>
      </c>
      <c r="E5" s="135" t="s">
        <v>239</v>
      </c>
      <c r="F5" s="61" t="s">
        <v>93</v>
      </c>
      <c r="G5" s="61" t="s">
        <v>94</v>
      </c>
      <c r="H5" s="61"/>
      <c r="I5" s="61" t="s">
        <v>40</v>
      </c>
      <c r="J5" s="61"/>
      <c r="K5" s="45"/>
      <c r="L5" s="45"/>
      <c r="M5" s="45"/>
      <c r="N5" s="45"/>
      <c r="O5" s="45"/>
      <c r="P5" s="45"/>
      <c r="Q5" s="45"/>
      <c r="R5" s="45"/>
      <c r="S5" s="45"/>
      <c r="T5" s="45"/>
      <c r="U5" s="45"/>
      <c r="V5" s="45"/>
      <c r="W5" s="45"/>
      <c r="X5" s="45"/>
      <c r="Y5" s="45"/>
      <c r="Z5" s="45"/>
    </row>
    <row r="6" customFormat="false" ht="16.5" hidden="false" customHeight="true" outlineLevel="0" collapsed="false">
      <c r="A6" s="135"/>
      <c r="B6" s="135"/>
      <c r="C6" s="135"/>
      <c r="D6" s="135"/>
      <c r="E6" s="135"/>
      <c r="F6" s="135"/>
      <c r="G6" s="61"/>
      <c r="H6" s="61"/>
      <c r="I6" s="61" t="s">
        <v>41</v>
      </c>
      <c r="J6" s="61" t="s">
        <v>42</v>
      </c>
      <c r="K6" s="45"/>
      <c r="L6" s="45"/>
      <c r="M6" s="45"/>
      <c r="N6" s="45"/>
      <c r="O6" s="45"/>
      <c r="P6" s="45"/>
      <c r="Q6" s="45"/>
      <c r="R6" s="45"/>
      <c r="S6" s="45"/>
      <c r="T6" s="45"/>
      <c r="U6" s="45"/>
      <c r="V6" s="45"/>
      <c r="W6" s="45"/>
      <c r="X6" s="45"/>
      <c r="Y6" s="45"/>
      <c r="Z6" s="45"/>
    </row>
    <row r="7" customFormat="false" ht="16.5" hidden="false" customHeight="true" outlineLevel="0" collapsed="false">
      <c r="A7" s="63" t="n">
        <v>1</v>
      </c>
      <c r="B7" s="77" t="s">
        <v>240</v>
      </c>
      <c r="C7" s="63" t="n">
        <v>1</v>
      </c>
      <c r="D7" s="136" t="n">
        <v>10000</v>
      </c>
      <c r="E7" s="64"/>
      <c r="F7" s="64"/>
      <c r="G7" s="64"/>
      <c r="H7" s="64"/>
      <c r="I7" s="64"/>
      <c r="J7" s="64"/>
      <c r="K7" s="45"/>
      <c r="L7" s="45"/>
      <c r="M7" s="45"/>
      <c r="N7" s="45"/>
      <c r="O7" s="45"/>
      <c r="P7" s="45"/>
      <c r="Q7" s="45"/>
      <c r="R7" s="45"/>
      <c r="S7" s="45"/>
      <c r="T7" s="45"/>
      <c r="U7" s="45"/>
      <c r="V7" s="45"/>
      <c r="W7" s="45"/>
      <c r="X7" s="45"/>
      <c r="Y7" s="45"/>
      <c r="Z7" s="45"/>
    </row>
    <row r="8" customFormat="false" ht="182.25" hidden="false" customHeight="true" outlineLevel="0" collapsed="false">
      <c r="A8" s="63" t="n">
        <f aca="false">A7+1</f>
        <v>2</v>
      </c>
      <c r="B8" s="137" t="s">
        <v>241</v>
      </c>
      <c r="C8" s="138" t="n">
        <v>5</v>
      </c>
      <c r="D8" s="139" t="n">
        <v>800000</v>
      </c>
      <c r="E8" s="64"/>
      <c r="F8" s="77" t="s">
        <v>242</v>
      </c>
      <c r="G8" s="64"/>
      <c r="H8" s="64"/>
      <c r="I8" s="64"/>
      <c r="J8" s="64"/>
      <c r="K8" s="45"/>
      <c r="L8" s="45"/>
      <c r="M8" s="45"/>
      <c r="N8" s="45"/>
      <c r="O8" s="45"/>
      <c r="P8" s="45"/>
      <c r="Q8" s="45"/>
      <c r="R8" s="45"/>
      <c r="S8" s="45"/>
      <c r="T8" s="45"/>
      <c r="U8" s="45"/>
      <c r="V8" s="45"/>
      <c r="W8" s="45"/>
      <c r="X8" s="45"/>
      <c r="Y8" s="45"/>
      <c r="Z8" s="45"/>
    </row>
    <row r="9" customFormat="false" ht="194.25" hidden="false" customHeight="true" outlineLevel="0" collapsed="false">
      <c r="A9" s="140" t="n">
        <v>3</v>
      </c>
      <c r="B9" s="137" t="s">
        <v>243</v>
      </c>
      <c r="C9" s="138" t="n">
        <v>60</v>
      </c>
      <c r="D9" s="139" t="n">
        <v>7800000</v>
      </c>
      <c r="E9" s="64"/>
      <c r="F9" s="77" t="s">
        <v>244</v>
      </c>
      <c r="G9" s="71"/>
      <c r="H9" s="73"/>
      <c r="I9" s="64"/>
      <c r="J9" s="64"/>
      <c r="K9" s="45"/>
      <c r="L9" s="45"/>
      <c r="M9" s="45"/>
      <c r="N9" s="45"/>
      <c r="O9" s="45"/>
      <c r="P9" s="45"/>
      <c r="Q9" s="45"/>
      <c r="R9" s="45"/>
      <c r="S9" s="45"/>
      <c r="T9" s="45"/>
      <c r="U9" s="45"/>
      <c r="V9" s="45"/>
      <c r="W9" s="45"/>
      <c r="X9" s="45"/>
      <c r="Y9" s="45"/>
      <c r="Z9" s="45"/>
    </row>
    <row r="10" customFormat="false" ht="28.5" hidden="false" customHeight="true" outlineLevel="0" collapsed="false">
      <c r="A10" s="140" t="n">
        <v>4</v>
      </c>
      <c r="B10" s="137" t="s">
        <v>245</v>
      </c>
      <c r="C10" s="138" t="n">
        <v>1</v>
      </c>
      <c r="D10" s="139" t="n">
        <v>200000</v>
      </c>
      <c r="E10" s="50"/>
      <c r="F10" s="77"/>
      <c r="G10" s="71"/>
      <c r="H10" s="73"/>
      <c r="I10" s="64"/>
      <c r="J10" s="64"/>
      <c r="K10" s="45"/>
      <c r="L10" s="45"/>
      <c r="M10" s="45"/>
      <c r="N10" s="45"/>
      <c r="O10" s="45"/>
      <c r="P10" s="45"/>
      <c r="Q10" s="45"/>
      <c r="R10" s="45"/>
      <c r="S10" s="45"/>
      <c r="T10" s="45"/>
      <c r="U10" s="45"/>
      <c r="V10" s="45"/>
      <c r="W10" s="45"/>
      <c r="X10" s="45"/>
      <c r="Y10" s="45"/>
      <c r="Z10" s="45"/>
    </row>
    <row r="11" customFormat="false" ht="57.75" hidden="false" customHeight="true" outlineLevel="0" collapsed="false">
      <c r="A11" s="140" t="n">
        <v>5</v>
      </c>
      <c r="B11" s="137" t="s">
        <v>246</v>
      </c>
      <c r="C11" s="138" t="n">
        <v>1</v>
      </c>
      <c r="D11" s="139" t="n">
        <v>510000</v>
      </c>
      <c r="E11" s="50"/>
      <c r="F11" s="77"/>
      <c r="G11" s="71"/>
      <c r="H11" s="73"/>
      <c r="I11" s="64"/>
      <c r="J11" s="64"/>
      <c r="K11" s="45"/>
      <c r="L11" s="45"/>
      <c r="M11" s="45"/>
      <c r="N11" s="45"/>
      <c r="O11" s="45"/>
      <c r="P11" s="45"/>
      <c r="Q11" s="45"/>
      <c r="R11" s="45"/>
      <c r="S11" s="45"/>
      <c r="T11" s="45"/>
      <c r="U11" s="45"/>
      <c r="V11" s="45"/>
      <c r="W11" s="45"/>
      <c r="X11" s="45"/>
      <c r="Y11" s="45"/>
      <c r="Z11" s="45"/>
    </row>
    <row r="12" customFormat="false" ht="77.25" hidden="false" customHeight="true" outlineLevel="0" collapsed="false">
      <c r="A12" s="141" t="n">
        <v>6</v>
      </c>
      <c r="B12" s="142" t="s">
        <v>247</v>
      </c>
      <c r="C12" s="141" t="n">
        <v>1</v>
      </c>
      <c r="D12" s="143" t="n">
        <v>8000000</v>
      </c>
      <c r="E12" s="50"/>
      <c r="F12" s="77"/>
      <c r="G12" s="71"/>
      <c r="H12" s="73"/>
      <c r="I12" s="64"/>
      <c r="J12" s="64"/>
      <c r="K12" s="45"/>
      <c r="L12" s="45"/>
      <c r="M12" s="45"/>
      <c r="N12" s="45"/>
      <c r="O12" s="45"/>
      <c r="P12" s="45"/>
      <c r="Q12" s="45"/>
      <c r="R12" s="45"/>
      <c r="S12" s="45"/>
      <c r="T12" s="45"/>
      <c r="U12" s="45"/>
      <c r="V12" s="45"/>
      <c r="W12" s="45"/>
      <c r="X12" s="45"/>
      <c r="Y12" s="45"/>
      <c r="Z12" s="45"/>
    </row>
    <row r="13" customFormat="false" ht="33.75" hidden="false" customHeight="true" outlineLevel="0" collapsed="false">
      <c r="A13" s="144" t="n">
        <v>7</v>
      </c>
      <c r="B13" s="142" t="s">
        <v>248</v>
      </c>
      <c r="C13" s="141" t="n">
        <v>1</v>
      </c>
      <c r="D13" s="143" t="n">
        <v>500000</v>
      </c>
      <c r="E13" s="50"/>
      <c r="F13" s="145"/>
      <c r="G13" s="71"/>
      <c r="H13" s="73"/>
      <c r="I13" s="64"/>
      <c r="J13" s="64"/>
      <c r="K13" s="45"/>
      <c r="L13" s="45"/>
      <c r="M13" s="45"/>
      <c r="N13" s="45"/>
      <c r="O13" s="45"/>
      <c r="P13" s="45"/>
      <c r="Q13" s="45"/>
      <c r="R13" s="45"/>
      <c r="S13" s="45"/>
      <c r="T13" s="45"/>
      <c r="U13" s="45"/>
      <c r="V13" s="45"/>
      <c r="W13" s="45"/>
      <c r="X13" s="45"/>
      <c r="Y13" s="45"/>
      <c r="Z13" s="45"/>
    </row>
    <row r="14" customFormat="false" ht="33.75" hidden="false" customHeight="true" outlineLevel="0" collapsed="false">
      <c r="A14" s="144" t="n">
        <v>8</v>
      </c>
      <c r="B14" s="142" t="s">
        <v>249</v>
      </c>
      <c r="C14" s="141" t="n">
        <v>1</v>
      </c>
      <c r="D14" s="143" t="n">
        <v>800000</v>
      </c>
      <c r="E14" s="50"/>
      <c r="F14" s="145"/>
      <c r="G14" s="71"/>
      <c r="H14" s="73"/>
      <c r="I14" s="64"/>
      <c r="J14" s="64"/>
      <c r="K14" s="45"/>
      <c r="L14" s="45"/>
      <c r="M14" s="45"/>
      <c r="N14" s="45"/>
      <c r="O14" s="45"/>
      <c r="P14" s="45"/>
      <c r="Q14" s="45"/>
      <c r="R14" s="45"/>
      <c r="S14" s="45"/>
      <c r="T14" s="45"/>
      <c r="U14" s="45"/>
      <c r="V14" s="45"/>
      <c r="W14" s="45"/>
      <c r="X14" s="45"/>
      <c r="Y14" s="45"/>
      <c r="Z14" s="45"/>
    </row>
    <row r="15" customFormat="false" ht="16.5" hidden="false" customHeight="true" outlineLevel="0" collapsed="false">
      <c r="A15" s="146" t="n">
        <v>9</v>
      </c>
      <c r="B15" s="147" t="s">
        <v>250</v>
      </c>
      <c r="C15" s="148"/>
      <c r="D15" s="149"/>
      <c r="E15" s="64"/>
      <c r="F15" s="64"/>
      <c r="G15" s="64"/>
      <c r="H15" s="64"/>
      <c r="I15" s="64"/>
      <c r="J15" s="64"/>
      <c r="K15" s="45"/>
      <c r="L15" s="45"/>
      <c r="M15" s="45"/>
      <c r="N15" s="45"/>
      <c r="O15" s="45"/>
      <c r="P15" s="45"/>
      <c r="Q15" s="45"/>
      <c r="R15" s="45"/>
      <c r="S15" s="45"/>
      <c r="T15" s="45"/>
      <c r="U15" s="45"/>
      <c r="V15" s="45"/>
      <c r="W15" s="45"/>
      <c r="X15" s="45"/>
      <c r="Y15" s="45"/>
      <c r="Z15" s="45"/>
    </row>
    <row r="16" customFormat="false" ht="16.5" hidden="false" customHeight="true" outlineLevel="0" collapsed="false">
      <c r="A16" s="63"/>
      <c r="B16" s="98" t="s">
        <v>251</v>
      </c>
      <c r="C16" s="97" t="n">
        <v>1</v>
      </c>
      <c r="D16" s="150" t="n">
        <v>15000</v>
      </c>
      <c r="E16" s="64"/>
      <c r="F16" s="64"/>
      <c r="G16" s="64"/>
      <c r="H16" s="64"/>
      <c r="I16" s="64"/>
      <c r="J16" s="64"/>
      <c r="K16" s="45"/>
      <c r="L16" s="45"/>
      <c r="M16" s="45"/>
      <c r="N16" s="45"/>
      <c r="O16" s="45"/>
      <c r="P16" s="45"/>
      <c r="Q16" s="45"/>
      <c r="R16" s="45"/>
      <c r="S16" s="45"/>
      <c r="T16" s="45"/>
      <c r="U16" s="45"/>
      <c r="V16" s="45"/>
      <c r="W16" s="45"/>
      <c r="X16" s="45"/>
      <c r="Y16" s="45"/>
      <c r="Z16" s="45"/>
    </row>
    <row r="17" customFormat="false" ht="16.5" hidden="false" customHeight="true" outlineLevel="0" collapsed="false">
      <c r="A17" s="63"/>
      <c r="B17" s="98" t="s">
        <v>252</v>
      </c>
      <c r="C17" s="97" t="n">
        <v>1</v>
      </c>
      <c r="D17" s="150" t="n">
        <v>20000</v>
      </c>
      <c r="E17" s="64"/>
      <c r="F17" s="64"/>
      <c r="G17" s="64"/>
      <c r="H17" s="64"/>
      <c r="I17" s="64"/>
      <c r="J17" s="64"/>
      <c r="K17" s="45"/>
      <c r="L17" s="45"/>
      <c r="M17" s="45"/>
      <c r="N17" s="45"/>
      <c r="O17" s="45"/>
      <c r="P17" s="45"/>
      <c r="Q17" s="45"/>
      <c r="R17" s="45"/>
      <c r="S17" s="45"/>
      <c r="T17" s="45"/>
      <c r="U17" s="45"/>
      <c r="V17" s="45"/>
      <c r="W17" s="45"/>
      <c r="X17" s="45"/>
      <c r="Y17" s="45"/>
      <c r="Z17" s="45"/>
    </row>
    <row r="18" customFormat="false" ht="16.5" hidden="false" customHeight="true" outlineLevel="0" collapsed="false">
      <c r="A18" s="63"/>
      <c r="B18" s="98" t="s">
        <v>253</v>
      </c>
      <c r="C18" s="97" t="n">
        <v>1</v>
      </c>
      <c r="D18" s="150" t="n">
        <v>5000</v>
      </c>
      <c r="E18" s="64"/>
      <c r="F18" s="64"/>
      <c r="G18" s="64"/>
      <c r="H18" s="64"/>
      <c r="I18" s="64"/>
      <c r="J18" s="64"/>
      <c r="K18" s="45"/>
      <c r="L18" s="45"/>
      <c r="M18" s="45"/>
      <c r="N18" s="45"/>
      <c r="O18" s="45"/>
      <c r="P18" s="45"/>
      <c r="Q18" s="45"/>
      <c r="R18" s="45"/>
      <c r="S18" s="45"/>
      <c r="T18" s="45"/>
      <c r="U18" s="45"/>
      <c r="V18" s="45"/>
      <c r="W18" s="45"/>
      <c r="X18" s="45"/>
      <c r="Y18" s="45"/>
      <c r="Z18" s="45"/>
    </row>
    <row r="19" customFormat="false" ht="16.5" hidden="false" customHeight="true" outlineLevel="0" collapsed="false">
      <c r="A19" s="140"/>
      <c r="B19" s="147" t="s">
        <v>254</v>
      </c>
      <c r="C19" s="151" t="n">
        <v>10</v>
      </c>
      <c r="D19" s="152" t="n">
        <v>160000</v>
      </c>
      <c r="E19" s="64"/>
      <c r="F19" s="64"/>
      <c r="G19" s="64"/>
      <c r="H19" s="64"/>
      <c r="I19" s="64"/>
      <c r="J19" s="64"/>
      <c r="K19" s="45"/>
      <c r="L19" s="45"/>
      <c r="M19" s="45"/>
      <c r="N19" s="45"/>
      <c r="O19" s="45"/>
      <c r="P19" s="45"/>
      <c r="Q19" s="45"/>
      <c r="R19" s="45"/>
      <c r="S19" s="45"/>
      <c r="T19" s="45"/>
      <c r="U19" s="45"/>
      <c r="V19" s="45"/>
      <c r="W19" s="45"/>
      <c r="X19" s="45"/>
      <c r="Y19" s="45"/>
      <c r="Z19" s="45"/>
    </row>
    <row r="20" customFormat="false" ht="30" hidden="false" customHeight="true" outlineLevel="0" collapsed="false">
      <c r="A20" s="63"/>
      <c r="B20" s="142" t="s">
        <v>255</v>
      </c>
      <c r="C20" s="141" t="n">
        <v>50</v>
      </c>
      <c r="D20" s="143" t="n">
        <v>800000</v>
      </c>
      <c r="E20" s="50"/>
      <c r="F20" s="64"/>
      <c r="G20" s="64"/>
      <c r="H20" s="64"/>
      <c r="I20" s="64"/>
      <c r="J20" s="64"/>
      <c r="K20" s="45"/>
      <c r="L20" s="45"/>
      <c r="M20" s="45"/>
      <c r="N20" s="45"/>
      <c r="O20" s="45"/>
      <c r="P20" s="45"/>
      <c r="Q20" s="45"/>
      <c r="R20" s="45"/>
      <c r="S20" s="45"/>
      <c r="T20" s="45"/>
      <c r="U20" s="45"/>
      <c r="V20" s="45"/>
      <c r="W20" s="45"/>
      <c r="X20" s="45"/>
      <c r="Y20" s="45"/>
      <c r="Z20" s="45"/>
    </row>
    <row r="21" customFormat="false" ht="29.25" hidden="false" customHeight="true" outlineLevel="0" collapsed="false">
      <c r="A21" s="63"/>
      <c r="B21" s="153" t="s">
        <v>256</v>
      </c>
      <c r="C21" s="141" t="n">
        <v>2</v>
      </c>
      <c r="D21" s="143" t="n">
        <v>100000</v>
      </c>
      <c r="E21" s="84"/>
      <c r="F21" s="154"/>
      <c r="G21" s="81"/>
      <c r="H21" s="84"/>
      <c r="I21" s="154"/>
      <c r="J21" s="154"/>
      <c r="K21" s="45"/>
      <c r="L21" s="45"/>
      <c r="M21" s="45"/>
      <c r="N21" s="45"/>
      <c r="O21" s="45"/>
      <c r="P21" s="45"/>
      <c r="Q21" s="45"/>
      <c r="R21" s="45"/>
      <c r="S21" s="45"/>
      <c r="T21" s="45"/>
      <c r="U21" s="45"/>
      <c r="V21" s="45"/>
      <c r="W21" s="45"/>
      <c r="X21" s="45"/>
      <c r="Y21" s="45"/>
      <c r="Z21" s="45"/>
    </row>
    <row r="22" customFormat="false" ht="33.75" hidden="false" customHeight="true" outlineLevel="0" collapsed="false">
      <c r="A22" s="141"/>
      <c r="B22" s="155"/>
      <c r="C22" s="155"/>
      <c r="D22" s="155"/>
      <c r="E22" s="64"/>
      <c r="F22" s="64"/>
      <c r="G22" s="64"/>
      <c r="H22" s="64"/>
      <c r="I22" s="64"/>
      <c r="J22" s="64"/>
      <c r="K22" s="45"/>
      <c r="L22" s="45"/>
      <c r="M22" s="45"/>
      <c r="N22" s="45"/>
      <c r="O22" s="45"/>
      <c r="P22" s="45"/>
      <c r="Q22" s="45"/>
      <c r="R22" s="45"/>
      <c r="S22" s="45"/>
      <c r="T22" s="45"/>
      <c r="U22" s="45"/>
      <c r="V22" s="45"/>
      <c r="W22" s="45"/>
      <c r="X22" s="45"/>
      <c r="Y22" s="45"/>
      <c r="Z22" s="45"/>
    </row>
    <row r="23" customFormat="false" ht="16.5" hidden="false" customHeight="true" outlineLevel="0" collapsed="false">
      <c r="A23" s="63"/>
      <c r="B23" s="98"/>
      <c r="C23" s="97"/>
      <c r="D23" s="150"/>
      <c r="E23" s="64"/>
      <c r="F23" s="64"/>
      <c r="G23" s="64"/>
      <c r="H23" s="64"/>
      <c r="I23" s="64"/>
      <c r="J23" s="64"/>
      <c r="K23" s="45"/>
      <c r="L23" s="45"/>
      <c r="M23" s="45"/>
      <c r="N23" s="45"/>
      <c r="O23" s="45"/>
      <c r="P23" s="45"/>
      <c r="Q23" s="45"/>
      <c r="R23" s="45"/>
      <c r="S23" s="45"/>
      <c r="T23" s="45"/>
      <c r="U23" s="45"/>
      <c r="V23" s="45"/>
      <c r="W23" s="45"/>
      <c r="X23" s="45"/>
      <c r="Y23" s="45"/>
      <c r="Z23" s="45"/>
    </row>
    <row r="24" customFormat="false" ht="16.5" hidden="false" customHeight="true" outlineLevel="0" collapsed="false">
      <c r="A24" s="63"/>
      <c r="B24" s="155"/>
      <c r="C24" s="155"/>
      <c r="D24" s="155"/>
      <c r="E24" s="64"/>
      <c r="F24" s="64"/>
      <c r="G24" s="64"/>
      <c r="H24" s="64"/>
      <c r="I24" s="64"/>
      <c r="J24" s="64"/>
      <c r="K24" s="45"/>
      <c r="L24" s="45"/>
      <c r="M24" s="45"/>
      <c r="N24" s="45"/>
      <c r="O24" s="45"/>
      <c r="P24" s="45"/>
      <c r="Q24" s="45"/>
      <c r="R24" s="45"/>
      <c r="S24" s="45"/>
      <c r="T24" s="45"/>
      <c r="U24" s="45"/>
      <c r="V24" s="45"/>
      <c r="W24" s="45"/>
      <c r="X24" s="45"/>
      <c r="Y24" s="45"/>
      <c r="Z24" s="45"/>
    </row>
    <row r="25" customFormat="false" ht="16.5" hidden="false" customHeight="true" outlineLevel="0" collapsed="false">
      <c r="A25" s="63"/>
      <c r="B25" s="155"/>
      <c r="C25" s="155"/>
      <c r="D25" s="155"/>
      <c r="E25" s="64"/>
      <c r="F25" s="64"/>
      <c r="G25" s="64"/>
      <c r="H25" s="64"/>
      <c r="I25" s="64"/>
      <c r="J25" s="64"/>
      <c r="K25" s="45"/>
      <c r="L25" s="45"/>
      <c r="M25" s="45"/>
      <c r="N25" s="45"/>
      <c r="O25" s="45"/>
      <c r="P25" s="45"/>
      <c r="Q25" s="45"/>
      <c r="R25" s="45"/>
      <c r="S25" s="45"/>
      <c r="T25" s="45"/>
      <c r="U25" s="45"/>
      <c r="V25" s="45"/>
      <c r="W25" s="45"/>
      <c r="X25" s="45"/>
      <c r="Y25" s="45"/>
      <c r="Z25" s="45"/>
    </row>
    <row r="26" customFormat="false" ht="16.5" hidden="false" customHeight="true" outlineLevel="0" collapsed="false">
      <c r="A26" s="146"/>
      <c r="B26" s="156"/>
      <c r="C26" s="156"/>
      <c r="D26" s="156"/>
      <c r="E26" s="156"/>
      <c r="F26" s="156"/>
      <c r="G26" s="85"/>
      <c r="H26" s="54"/>
      <c r="I26" s="156"/>
      <c r="J26" s="156"/>
      <c r="K26" s="45"/>
      <c r="L26" s="45"/>
      <c r="M26" s="45"/>
      <c r="N26" s="45"/>
      <c r="O26" s="45"/>
      <c r="P26" s="45"/>
      <c r="Q26" s="45"/>
      <c r="R26" s="45"/>
      <c r="S26" s="45"/>
      <c r="T26" s="45"/>
      <c r="U26" s="45"/>
      <c r="V26" s="45"/>
      <c r="W26" s="45"/>
      <c r="X26" s="45"/>
      <c r="Y26" s="45"/>
      <c r="Z26" s="45"/>
    </row>
    <row r="27" customFormat="false" ht="16.5" hidden="false" customHeight="true" outlineLevel="0" collapsed="false">
      <c r="A27" s="51" t="s">
        <v>257</v>
      </c>
      <c r="B27" s="51"/>
      <c r="C27" s="64"/>
      <c r="D27" s="126" t="n">
        <f aca="false">SUM(D7:D26)</f>
        <v>19720000</v>
      </c>
      <c r="E27" s="64"/>
      <c r="F27" s="64"/>
      <c r="G27" s="64"/>
      <c r="H27" s="64"/>
      <c r="I27" s="126" t="n">
        <f aca="false">SUM(I7:I26)</f>
        <v>0</v>
      </c>
      <c r="J27" s="126" t="n">
        <f aca="false">SUM(J7:J26)</f>
        <v>0</v>
      </c>
      <c r="K27" s="45"/>
      <c r="L27" s="45"/>
      <c r="M27" s="45"/>
      <c r="N27" s="45"/>
      <c r="O27" s="45"/>
      <c r="P27" s="45"/>
      <c r="Q27" s="45"/>
      <c r="R27" s="45"/>
      <c r="S27" s="45"/>
      <c r="T27" s="45"/>
      <c r="U27" s="45"/>
      <c r="V27" s="45"/>
      <c r="W27" s="45"/>
      <c r="X27" s="45"/>
      <c r="Y27" s="45"/>
      <c r="Z27" s="45"/>
    </row>
    <row r="28" customFormat="false" ht="21" hidden="false" customHeight="true" outlineLevel="0" collapsed="false">
      <c r="A28" s="130"/>
      <c r="B28" s="157"/>
      <c r="C28" s="157"/>
      <c r="D28" s="157"/>
      <c r="E28" s="157"/>
      <c r="F28" s="157"/>
      <c r="G28" s="157"/>
      <c r="H28" s="157"/>
      <c r="I28" s="157"/>
      <c r="J28" s="158"/>
      <c r="K28" s="45"/>
      <c r="L28" s="45"/>
      <c r="M28" s="45"/>
      <c r="N28" s="45"/>
      <c r="O28" s="45"/>
      <c r="P28" s="45"/>
      <c r="Q28" s="45"/>
      <c r="R28" s="45"/>
      <c r="S28" s="45"/>
      <c r="T28" s="45"/>
      <c r="U28" s="45"/>
      <c r="V28" s="45"/>
      <c r="W28" s="45"/>
      <c r="X28" s="45"/>
      <c r="Y28" s="45"/>
      <c r="Z28" s="45"/>
    </row>
    <row r="29" customFormat="false" ht="21" hidden="false" customHeight="true" outlineLevel="0" collapsed="false">
      <c r="A29" s="130"/>
      <c r="B29" s="134"/>
      <c r="C29" s="134"/>
      <c r="D29" s="134"/>
      <c r="E29" s="134"/>
      <c r="F29" s="134"/>
      <c r="G29" s="134"/>
      <c r="H29" s="134"/>
      <c r="I29" s="134"/>
      <c r="J29" s="159"/>
      <c r="K29" s="45"/>
      <c r="L29" s="45"/>
      <c r="M29" s="45"/>
      <c r="N29" s="45"/>
      <c r="O29" s="45"/>
      <c r="P29" s="45"/>
      <c r="Q29" s="45"/>
      <c r="R29" s="45"/>
      <c r="S29" s="45"/>
      <c r="T29" s="45"/>
      <c r="U29" s="45"/>
      <c r="V29" s="45"/>
      <c r="W29" s="45"/>
      <c r="X29" s="45"/>
      <c r="Y29" s="45"/>
      <c r="Z29" s="45"/>
    </row>
    <row r="30" customFormat="false" ht="21" hidden="false" customHeight="true" outlineLevel="0" collapsed="false">
      <c r="A30" s="47" t="s">
        <v>17</v>
      </c>
      <c r="B30" s="60"/>
      <c r="C30" s="47" t="s">
        <v>18</v>
      </c>
      <c r="D30" s="60"/>
      <c r="E30" s="60"/>
      <c r="F30" s="89"/>
      <c r="G30" s="60" t="s">
        <v>19</v>
      </c>
      <c r="H30" s="60"/>
      <c r="I30" s="60"/>
      <c r="J30" s="89"/>
      <c r="K30" s="90"/>
      <c r="L30" s="90"/>
      <c r="M30" s="90"/>
      <c r="N30" s="90"/>
      <c r="O30" s="90"/>
      <c r="P30" s="90"/>
      <c r="Q30" s="90"/>
      <c r="R30" s="90"/>
      <c r="S30" s="90"/>
      <c r="T30" s="90"/>
      <c r="U30" s="90"/>
      <c r="V30" s="90"/>
      <c r="W30" s="90"/>
      <c r="X30" s="90"/>
      <c r="Y30" s="90"/>
      <c r="Z30" s="90"/>
    </row>
    <row r="31" customFormat="false" ht="16.5" hidden="false" customHeight="true" outlineLevel="0" collapsed="false">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ustomFormat="false" ht="16.5" hidden="false" customHeight="true" outlineLevel="0" collapsed="false">
      <c r="A32" s="90" t="s">
        <v>21</v>
      </c>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ustomFormat="false" ht="16.5" hidden="false" customHeight="true" outlineLevel="0" collapsed="false">
      <c r="A33" s="45" t="s">
        <v>221</v>
      </c>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ustomFormat="false" ht="16.5" hidden="false" customHeight="true" outlineLevel="0" collapsed="false">
      <c r="A34" s="45" t="s">
        <v>222</v>
      </c>
      <c r="B34" s="160"/>
      <c r="C34" s="160"/>
      <c r="D34" s="160"/>
      <c r="E34" s="160"/>
      <c r="F34" s="160"/>
      <c r="G34" s="160"/>
      <c r="H34" s="160"/>
      <c r="I34" s="160"/>
      <c r="J34" s="160"/>
      <c r="K34" s="45"/>
      <c r="L34" s="45"/>
      <c r="M34" s="45"/>
      <c r="N34" s="45"/>
      <c r="O34" s="45"/>
      <c r="P34" s="45"/>
      <c r="Q34" s="45"/>
      <c r="R34" s="45"/>
      <c r="S34" s="45"/>
      <c r="T34" s="45"/>
      <c r="U34" s="45"/>
      <c r="V34" s="45"/>
      <c r="W34" s="45"/>
      <c r="X34" s="45"/>
      <c r="Y34" s="45"/>
      <c r="Z34" s="45"/>
    </row>
    <row r="35" customFormat="false" ht="16.5" hidden="false" customHeight="true" outlineLevel="0" collapsed="false">
      <c r="A35" s="45" t="s">
        <v>223</v>
      </c>
      <c r="B35" s="160"/>
      <c r="C35" s="160"/>
      <c r="D35" s="160"/>
      <c r="E35" s="160"/>
      <c r="F35" s="160"/>
      <c r="G35" s="160"/>
      <c r="H35" s="160"/>
      <c r="I35" s="160"/>
      <c r="J35" s="160"/>
      <c r="K35" s="45"/>
      <c r="L35" s="45"/>
      <c r="M35" s="45"/>
      <c r="N35" s="45"/>
      <c r="O35" s="45"/>
      <c r="P35" s="45"/>
      <c r="Q35" s="45"/>
      <c r="R35" s="45"/>
      <c r="S35" s="45"/>
      <c r="T35" s="45"/>
      <c r="U35" s="45"/>
      <c r="V35" s="45"/>
      <c r="W35" s="45"/>
      <c r="X35" s="45"/>
      <c r="Y35" s="45"/>
      <c r="Z35" s="45"/>
    </row>
    <row r="36" customFormat="false" ht="16.5" hidden="false" customHeight="true" outlineLevel="0" collapsed="false">
      <c r="A36" s="45" t="s">
        <v>258</v>
      </c>
      <c r="B36" s="160"/>
      <c r="C36" s="160"/>
      <c r="D36" s="160"/>
      <c r="E36" s="160"/>
      <c r="F36" s="160"/>
      <c r="G36" s="160"/>
      <c r="H36" s="160"/>
      <c r="I36" s="160"/>
      <c r="J36" s="160"/>
      <c r="K36" s="45"/>
      <c r="L36" s="45"/>
      <c r="M36" s="45"/>
      <c r="N36" s="45"/>
      <c r="O36" s="45"/>
      <c r="P36" s="45"/>
      <c r="Q36" s="45"/>
      <c r="R36" s="45"/>
      <c r="S36" s="45"/>
      <c r="T36" s="45"/>
      <c r="U36" s="45"/>
      <c r="V36" s="45"/>
      <c r="W36" s="45"/>
      <c r="X36" s="45"/>
      <c r="Y36" s="45"/>
      <c r="Z36" s="45"/>
    </row>
    <row r="37" customFormat="false" ht="16.5" hidden="false" customHeight="true" outlineLevel="0" collapsed="false">
      <c r="A37" s="45" t="s">
        <v>259</v>
      </c>
      <c r="B37" s="160"/>
      <c r="C37" s="160"/>
      <c r="D37" s="160"/>
      <c r="E37" s="160"/>
      <c r="F37" s="160"/>
      <c r="G37" s="160"/>
      <c r="H37" s="160"/>
      <c r="I37" s="160"/>
      <c r="J37" s="160"/>
      <c r="K37" s="45"/>
      <c r="L37" s="45"/>
      <c r="M37" s="45"/>
      <c r="N37" s="45"/>
      <c r="O37" s="45"/>
      <c r="P37" s="45"/>
      <c r="Q37" s="45"/>
      <c r="R37" s="45"/>
      <c r="S37" s="45"/>
      <c r="T37" s="45"/>
      <c r="U37" s="45"/>
      <c r="V37" s="45"/>
      <c r="W37" s="45"/>
      <c r="X37" s="45"/>
      <c r="Y37" s="45"/>
      <c r="Z37" s="45"/>
    </row>
    <row r="38" customFormat="false" ht="16.5" hidden="false" customHeight="true" outlineLevel="0" collapsed="false">
      <c r="A38" s="45" t="s">
        <v>260</v>
      </c>
      <c r="B38" s="160"/>
      <c r="C38" s="160"/>
      <c r="D38" s="160"/>
      <c r="E38" s="160"/>
      <c r="F38" s="160"/>
      <c r="G38" s="160"/>
      <c r="H38" s="160"/>
      <c r="I38" s="160"/>
      <c r="J38" s="160"/>
      <c r="K38" s="45"/>
      <c r="L38" s="45"/>
      <c r="M38" s="45"/>
      <c r="N38" s="45"/>
      <c r="O38" s="45"/>
      <c r="P38" s="45"/>
      <c r="Q38" s="45"/>
      <c r="R38" s="45"/>
      <c r="S38" s="45"/>
      <c r="T38" s="45"/>
      <c r="U38" s="45"/>
      <c r="V38" s="45"/>
      <c r="W38" s="45"/>
      <c r="X38" s="45"/>
      <c r="Y38" s="45"/>
      <c r="Z38" s="45"/>
    </row>
    <row r="39" customFormat="false" ht="16.5" hidden="false" customHeight="true" outlineLevel="0" collapsed="false">
      <c r="A39" s="45" t="s">
        <v>231</v>
      </c>
      <c r="B39" s="160"/>
      <c r="C39" s="160"/>
      <c r="D39" s="160"/>
      <c r="E39" s="160"/>
      <c r="F39" s="160"/>
      <c r="G39" s="160"/>
      <c r="H39" s="160"/>
      <c r="I39" s="160"/>
      <c r="J39" s="160"/>
      <c r="K39" s="45"/>
      <c r="L39" s="45"/>
      <c r="M39" s="45"/>
      <c r="N39" s="45"/>
      <c r="O39" s="45"/>
      <c r="P39" s="45"/>
      <c r="Q39" s="45"/>
      <c r="R39" s="45"/>
      <c r="S39" s="45"/>
      <c r="T39" s="45"/>
      <c r="U39" s="45"/>
      <c r="V39" s="45"/>
      <c r="W39" s="45"/>
      <c r="X39" s="45"/>
      <c r="Y39" s="45"/>
      <c r="Z39" s="45"/>
    </row>
    <row r="40" customFormat="false" ht="16.5" hidden="false" customHeight="true" outlineLevel="0" collapsed="false">
      <c r="A40" s="45" t="s">
        <v>261</v>
      </c>
      <c r="B40" s="45"/>
      <c r="C40" s="160"/>
      <c r="D40" s="160"/>
      <c r="E40" s="160"/>
      <c r="F40" s="160"/>
      <c r="G40" s="160"/>
      <c r="H40" s="160"/>
      <c r="I40" s="160"/>
      <c r="J40" s="160"/>
      <c r="K40" s="45"/>
      <c r="L40" s="45"/>
      <c r="M40" s="45"/>
      <c r="N40" s="45"/>
      <c r="O40" s="45"/>
      <c r="P40" s="45"/>
      <c r="Q40" s="45"/>
      <c r="R40" s="45"/>
      <c r="S40" s="45"/>
      <c r="T40" s="45"/>
      <c r="U40" s="45"/>
      <c r="V40" s="45"/>
      <c r="W40" s="45"/>
      <c r="X40" s="45"/>
      <c r="Y40" s="45"/>
      <c r="Z40" s="45"/>
    </row>
    <row r="41" customFormat="false" ht="16.5" hidden="false" customHeight="true" outlineLevel="0" collapsed="false">
      <c r="A41" s="45" t="s">
        <v>88</v>
      </c>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ustomFormat="false" ht="16.5" hidden="false" customHeight="true" outlineLevel="0" collapsed="false">
      <c r="A42" s="45" t="s">
        <v>262</v>
      </c>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ustomFormat="false" ht="16.5" hidden="false" customHeight="true" outlineLevel="0" collapsed="false">
      <c r="A43" s="133" t="s">
        <v>229</v>
      </c>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ustomFormat="false" ht="16.5" hidden="false" customHeight="true" outlineLevel="0" collapsed="false">
      <c r="A44" s="161" t="s">
        <v>263</v>
      </c>
      <c r="B44" s="45"/>
      <c r="C44" s="157"/>
      <c r="D44" s="157"/>
      <c r="E44" s="157"/>
      <c r="F44" s="157"/>
      <c r="G44" s="157"/>
      <c r="H44" s="157"/>
      <c r="I44" s="157"/>
      <c r="J44" s="157"/>
      <c r="K44" s="45"/>
      <c r="L44" s="45"/>
      <c r="M44" s="45"/>
      <c r="N44" s="45"/>
      <c r="O44" s="45"/>
      <c r="P44" s="45"/>
      <c r="Q44" s="45"/>
      <c r="R44" s="45"/>
      <c r="S44" s="45"/>
      <c r="T44" s="45"/>
      <c r="U44" s="45"/>
      <c r="V44" s="45"/>
      <c r="W44" s="45"/>
      <c r="X44" s="45"/>
      <c r="Y44" s="45"/>
      <c r="Z44" s="45"/>
    </row>
    <row r="45" customFormat="false" ht="16.5" hidden="false" customHeight="true" outlineLevel="0" collapsed="false">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ustomFormat="false" ht="16.5" hidden="false" customHeight="true" outlineLevel="0" collapsed="false">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ustomFormat="false" ht="16.5" hidden="false" customHeight="true" outlineLevel="0" collapsed="false">
      <c r="A47" s="162"/>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ustomFormat="false" ht="16.5" hidden="false" customHeight="true" outlineLevel="0" collapsed="false">
      <c r="A48" s="162"/>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ustomFormat="false" ht="16.5" hidden="false" customHeight="true" outlineLevel="0" collapsed="false">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ustomFormat="false" ht="16.5" hidden="false" customHeight="true" outlineLevel="0" collapsed="false">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ustomFormat="false" ht="16.5" hidden="false" customHeight="true" outlineLevel="0" collapsed="false">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ustomFormat="false" ht="16.5" hidden="false" customHeight="true" outlineLevel="0" collapsed="false">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ustomFormat="false" ht="16.5" hidden="false" customHeight="true" outlineLevel="0" collapsed="false">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ustomFormat="false" ht="16.5" hidden="false" customHeight="true" outlineLevel="0" collapsed="false">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ustomFormat="false" ht="16.5" hidden="false" customHeight="true" outlineLevel="0" collapsed="false">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ustomFormat="false" ht="16.5" hidden="false" customHeight="true" outlineLevel="0" collapsed="false">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ustomFormat="false" ht="16.5" hidden="false" customHeight="true" outlineLevel="0" collapsed="false">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ustomFormat="false" ht="16.5" hidden="false" customHeight="true" outlineLevel="0" collapsed="false">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ustomFormat="false" ht="16.5" hidden="false" customHeight="true" outlineLevel="0" collapsed="false">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ustomFormat="false" ht="16.5" hidden="false" customHeight="true" outlineLevel="0" collapsed="false">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ustomFormat="false" ht="16.5" hidden="false" customHeight="true" outlineLevel="0" collapsed="false">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ustomFormat="false" ht="16.5" hidden="false" customHeight="true" outlineLevel="0" collapsed="false">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ustomFormat="false" ht="16.5" hidden="false" customHeight="true" outlineLevel="0" collapsed="false">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ustomFormat="false" ht="16.5" hidden="false" customHeight="true" outlineLevel="0" collapsed="false">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ustomFormat="false" ht="16.5" hidden="false" customHeight="true" outlineLevel="0" collapsed="false">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ustomFormat="false" ht="16.5" hidden="false" customHeight="true" outlineLevel="0" collapsed="false">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ustomFormat="false" ht="16.5" hidden="false" customHeight="true" outlineLevel="0" collapsed="false">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ustomFormat="false" ht="16.5" hidden="false" customHeight="true" outlineLevel="0" collapsed="false">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ustomFormat="false" ht="16.5" hidden="false" customHeight="true" outlineLevel="0" collapsed="false">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ustomFormat="false" ht="16.5" hidden="false" customHeight="true" outlineLevel="0" collapsed="false">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ustomFormat="false" ht="16.5" hidden="false" customHeight="true" outlineLevel="0" collapsed="false">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ustomFormat="false" ht="16.5" hidden="false" customHeight="true" outlineLevel="0" collapsed="false">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ustomFormat="false" ht="16.5" hidden="false" customHeight="true" outlineLevel="0" collapsed="false">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ustomFormat="false" ht="16.5" hidden="false" customHeight="true" outlineLevel="0" collapsed="false">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ustomFormat="false" ht="16.5" hidden="false" customHeight="true" outlineLevel="0" collapsed="false">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ustomFormat="false" ht="16.5" hidden="false" customHeight="true" outlineLevel="0" collapsed="false">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ustomFormat="false" ht="16.5" hidden="false" customHeight="true" outlineLevel="0" collapsed="false">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ustomFormat="false" ht="16.5" hidden="false" customHeight="true" outlineLevel="0" collapsed="false">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ustomFormat="false" ht="16.5" hidden="false" customHeight="true" outlineLevel="0" collapsed="false">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ustomFormat="false" ht="16.5" hidden="false" customHeight="true" outlineLevel="0" collapsed="false">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ustomFormat="false" ht="16.5" hidden="false" customHeight="true" outlineLevel="0" collapsed="false">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ustomFormat="false" ht="16.5" hidden="false" customHeight="true" outlineLevel="0" collapsed="false">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ustomFormat="false" ht="16.5" hidden="false" customHeight="true" outlineLevel="0" collapsed="false">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ustomFormat="false" ht="16.5" hidden="false" customHeight="true" outlineLevel="0" collapsed="false">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ustomFormat="false" ht="16.5" hidden="false" customHeight="true" outlineLevel="0" collapsed="false">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ustomFormat="false" ht="16.5" hidden="false" customHeight="true" outlineLevel="0" collapsed="false">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ustomFormat="false" ht="16.5" hidden="false" customHeight="true" outlineLevel="0" collapsed="false">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ustomFormat="false" ht="16.5" hidden="false" customHeight="true" outlineLevel="0" collapsed="false">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ustomFormat="false" ht="16.5" hidden="false" customHeight="true" outlineLevel="0" collapsed="false">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ustomFormat="false" ht="16.5" hidden="false" customHeight="true" outlineLevel="0" collapsed="false">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ustomFormat="false" ht="16.5" hidden="false" customHeight="true" outlineLevel="0" collapsed="false">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ustomFormat="false" ht="16.5" hidden="false" customHeight="true" outlineLevel="0" collapsed="false">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ustomFormat="false" ht="16.5" hidden="false" customHeight="true" outlineLevel="0" collapsed="false">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ustomFormat="false" ht="16.5" hidden="false" customHeight="true" outlineLevel="0" collapsed="false">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ustomFormat="false" ht="16.5" hidden="false" customHeight="true" outlineLevel="0" collapsed="false">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ustomFormat="false" ht="16.5" hidden="false" customHeight="true" outlineLevel="0" collapsed="false">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ustomFormat="false" ht="16.5" hidden="false" customHeight="true" outlineLevel="0" collapsed="false">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ustomFormat="false" ht="16.5" hidden="false" customHeight="true" outlineLevel="0" collapsed="false">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ustomFormat="false" ht="16.5" hidden="false" customHeight="true" outlineLevel="0" collapsed="false">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ustomFormat="false" ht="16.5" hidden="false" customHeight="true" outlineLevel="0" collapsed="false">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ustomFormat="false" ht="16.5" hidden="false" customHeight="true" outlineLevel="0" collapsed="false">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ustomFormat="false" ht="16.5" hidden="false" customHeight="true" outlineLevel="0" collapsed="false">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ustomFormat="false" ht="16.5" hidden="false" customHeight="true" outlineLevel="0" collapsed="false">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ustomFormat="false" ht="16.5" hidden="false" customHeight="true" outlineLevel="0" collapsed="false">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ustomFormat="false" ht="16.5" hidden="false" customHeight="true" outlineLevel="0" collapsed="false">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ustomFormat="false" ht="16.5" hidden="false" customHeight="true" outlineLevel="0" collapsed="false">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ustomFormat="false" ht="16.5" hidden="false" customHeight="true" outlineLevel="0" collapsed="false">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ustomFormat="false" ht="16.5" hidden="false" customHeight="true" outlineLevel="0" collapsed="false">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ustomFormat="false" ht="16.5" hidden="false" customHeight="true" outlineLevel="0" collapsed="false">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ustomFormat="false" ht="16.5" hidden="false" customHeight="true" outlineLevel="0" collapsed="false">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ustomFormat="false" ht="16.5" hidden="false" customHeight="true" outlineLevel="0" collapsed="false">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ustomFormat="false" ht="16.5" hidden="false" customHeight="true" outlineLevel="0" collapsed="false">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ustomFormat="false" ht="16.5" hidden="false" customHeight="true" outlineLevel="0" collapsed="false">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ustomFormat="false" ht="16.5" hidden="false" customHeight="true" outlineLevel="0" collapsed="false">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ustomFormat="false" ht="16.5" hidden="false" customHeight="true" outlineLevel="0" collapsed="false">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ustomFormat="false" ht="16.5" hidden="false" customHeight="true" outlineLevel="0" collapsed="false">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ustomFormat="false" ht="16.5" hidden="false" customHeight="true" outlineLevel="0" collapsed="false">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ustomFormat="false" ht="16.5" hidden="false" customHeight="true" outlineLevel="0" collapsed="false">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ustomFormat="false" ht="16.5" hidden="false" customHeight="true" outlineLevel="0" collapsed="false">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ustomFormat="false" ht="16.5" hidden="false" customHeight="true" outlineLevel="0" collapsed="false">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ustomFormat="false" ht="16.5" hidden="false" customHeight="true" outlineLevel="0" collapsed="false">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ustomFormat="false" ht="16.5" hidden="false" customHeight="true" outlineLevel="0" collapsed="false">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ustomFormat="false" ht="16.5" hidden="false" customHeight="true" outlineLevel="0" collapsed="false">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ustomFormat="false" ht="16.5" hidden="false" customHeight="true" outlineLevel="0" collapsed="false">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ustomFormat="false" ht="16.5" hidden="false" customHeight="true" outlineLevel="0" collapsed="false">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ustomFormat="false" ht="16.5" hidden="false" customHeight="true" outlineLevel="0" collapsed="false">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ustomFormat="false" ht="16.5" hidden="false" customHeight="true" outlineLevel="0" collapsed="false">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ustomFormat="false" ht="16.5" hidden="false" customHeight="true" outlineLevel="0" collapsed="false">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ustomFormat="false" ht="16.5" hidden="false" customHeight="true" outlineLevel="0" collapsed="false">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ustomFormat="false" ht="16.5" hidden="false" customHeight="true" outlineLevel="0" collapsed="false">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ustomFormat="false" ht="16.5" hidden="false" customHeight="true" outlineLevel="0" collapsed="false">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ustomFormat="false" ht="16.5" hidden="false" customHeight="true" outlineLevel="0" collapsed="false">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ustomFormat="false" ht="16.5" hidden="false" customHeight="true" outlineLevel="0" collapsed="false">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ustomFormat="false" ht="16.5" hidden="false" customHeight="true" outlineLevel="0" collapsed="false">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ustomFormat="false" ht="16.5" hidden="false" customHeight="true" outlineLevel="0" collapsed="false">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ustomFormat="false" ht="16.5" hidden="false" customHeight="true" outlineLevel="0" collapsed="false">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ustomFormat="false" ht="16.5" hidden="false" customHeight="true" outlineLevel="0" collapsed="false">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ustomFormat="false" ht="16.5" hidden="false" customHeight="true" outlineLevel="0" collapsed="false">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ustomFormat="false" ht="16.5" hidden="false" customHeight="true" outlineLevel="0" collapsed="false">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ustomFormat="false" ht="16.5" hidden="false" customHeight="true" outlineLevel="0" collapsed="false">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ustomFormat="false" ht="16.5" hidden="false" customHeight="true" outlineLevel="0" collapsed="false">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ustomFormat="false" ht="16.5" hidden="false" customHeight="true" outlineLevel="0" collapsed="false">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ustomFormat="false" ht="16.5" hidden="false" customHeight="true" outlineLevel="0" collapsed="false">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ustomFormat="false" ht="16.5" hidden="false" customHeight="true" outlineLevel="0" collapsed="false">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ustomFormat="false" ht="16.5" hidden="false" customHeight="true" outlineLevel="0" collapsed="false">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ustomFormat="false" ht="16.5" hidden="false" customHeight="true" outlineLevel="0" collapsed="false">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ustomFormat="false" ht="16.5" hidden="false" customHeight="true" outlineLevel="0" collapsed="false">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ustomFormat="false" ht="16.5" hidden="false" customHeight="true" outlineLevel="0" collapsed="false">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ustomFormat="false" ht="16.5" hidden="false" customHeight="true" outlineLevel="0" collapsed="false">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ustomFormat="false" ht="16.5" hidden="false" customHeight="true" outlineLevel="0" collapsed="false">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ustomFormat="false" ht="16.5" hidden="false" customHeight="true" outlineLevel="0" collapsed="false">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ustomFormat="false" ht="16.5" hidden="false" customHeight="true" outlineLevel="0" collapsed="false">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ustomFormat="false" ht="16.5" hidden="false" customHeight="true" outlineLevel="0" collapsed="false">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ustomFormat="false" ht="16.5" hidden="false" customHeight="true" outlineLevel="0" collapsed="false">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ustomFormat="false" ht="16.5" hidden="false" customHeight="true" outlineLevel="0" collapsed="false">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ustomFormat="false" ht="16.5" hidden="false" customHeight="true" outlineLevel="0" collapsed="false">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ustomFormat="false" ht="16.5" hidden="false" customHeight="true" outlineLevel="0" collapsed="false">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ustomFormat="false" ht="16.5" hidden="false" customHeight="true" outlineLevel="0" collapsed="false">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ustomFormat="false" ht="16.5" hidden="false" customHeight="true" outlineLevel="0" collapsed="false">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ustomFormat="false" ht="16.5" hidden="false" customHeight="true" outlineLevel="0" collapsed="false">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ustomFormat="false" ht="16.5" hidden="false" customHeight="true" outlineLevel="0" collapsed="false">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ustomFormat="false" ht="16.5" hidden="false" customHeight="true" outlineLevel="0" collapsed="false">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ustomFormat="false" ht="16.5" hidden="false" customHeight="true" outlineLevel="0" collapsed="false">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ustomFormat="false" ht="16.5" hidden="false" customHeight="true" outlineLevel="0" collapsed="false">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ustomFormat="false" ht="16.5" hidden="false" customHeight="true" outlineLevel="0" collapsed="false">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ustomFormat="false" ht="16.5" hidden="false" customHeight="true" outlineLevel="0" collapsed="false">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ustomFormat="false" ht="16.5" hidden="false" customHeight="true" outlineLevel="0" collapsed="false">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ustomFormat="false" ht="16.5" hidden="false" customHeight="true" outlineLevel="0" collapsed="false">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ustomFormat="false" ht="16.5" hidden="false" customHeight="true" outlineLevel="0" collapsed="false">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ustomFormat="false" ht="16.5" hidden="false" customHeight="true" outlineLevel="0" collapsed="false">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ustomFormat="false" ht="16.5" hidden="false" customHeight="true" outlineLevel="0" collapsed="false">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ustomFormat="false" ht="16.5" hidden="false" customHeight="true" outlineLevel="0" collapsed="false">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ustomFormat="false" ht="16.5" hidden="false" customHeight="true" outlineLevel="0" collapsed="false">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ustomFormat="false" ht="16.5" hidden="false" customHeight="true" outlineLevel="0" collapsed="false">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ustomFormat="false" ht="16.5" hidden="false" customHeight="true" outlineLevel="0" collapsed="false">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ustomFormat="false" ht="16.5" hidden="false" customHeight="true" outlineLevel="0" collapsed="false">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ustomFormat="false" ht="16.5" hidden="false" customHeight="true" outlineLevel="0" collapsed="false">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ustomFormat="false" ht="16.5" hidden="false" customHeight="true" outlineLevel="0" collapsed="false">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ustomFormat="false" ht="16.5" hidden="false" customHeight="true" outlineLevel="0" collapsed="false">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ustomFormat="false" ht="16.5" hidden="false" customHeight="true" outlineLevel="0" collapsed="false">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ustomFormat="false" ht="16.5" hidden="false" customHeight="true" outlineLevel="0" collapsed="false">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ustomFormat="false" ht="16.5" hidden="false" customHeight="true" outlineLevel="0" collapsed="false">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ustomFormat="false" ht="16.5" hidden="false" customHeight="true" outlineLevel="0" collapsed="false">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ustomFormat="false" ht="16.5" hidden="false" customHeight="true" outlineLevel="0" collapsed="false">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ustomFormat="false" ht="16.5" hidden="false" customHeight="true" outlineLevel="0" collapsed="false">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ustomFormat="false" ht="16.5" hidden="false" customHeight="true" outlineLevel="0" collapsed="false">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ustomFormat="false" ht="16.5" hidden="false" customHeight="true" outlineLevel="0" collapsed="false">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ustomFormat="false" ht="16.5" hidden="false" customHeight="true" outlineLevel="0" collapsed="false">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ustomFormat="false" ht="16.5" hidden="false" customHeight="true" outlineLevel="0" collapsed="false">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ustomFormat="false" ht="16.5" hidden="false" customHeight="true" outlineLevel="0" collapsed="false">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ustomFormat="false" ht="16.5" hidden="false" customHeight="true" outlineLevel="0" collapsed="false">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ustomFormat="false" ht="16.5" hidden="false" customHeight="true" outlineLevel="0" collapsed="false">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ustomFormat="false" ht="16.5" hidden="false" customHeight="true" outlineLevel="0" collapsed="false">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ustomFormat="false" ht="16.5" hidden="false" customHeight="true" outlineLevel="0" collapsed="false">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ustomFormat="false" ht="16.5" hidden="false" customHeight="true" outlineLevel="0" collapsed="false">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ustomFormat="false" ht="16.5" hidden="false" customHeight="true" outlineLevel="0" collapsed="false">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ustomFormat="false" ht="16.5" hidden="false" customHeight="true" outlineLevel="0" collapsed="false">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ustomFormat="false" ht="16.5" hidden="false" customHeight="true" outlineLevel="0" collapsed="false">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ustomFormat="false" ht="16.5" hidden="false" customHeight="true" outlineLevel="0" collapsed="false">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ustomFormat="false" ht="16.5" hidden="false" customHeight="true" outlineLevel="0" collapsed="false">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ustomFormat="false" ht="16.5" hidden="false" customHeight="true" outlineLevel="0" collapsed="false">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ustomFormat="false" ht="16.5" hidden="false" customHeight="true" outlineLevel="0" collapsed="false">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ustomFormat="false" ht="16.5" hidden="false" customHeight="true" outlineLevel="0" collapsed="false">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ustomFormat="false" ht="16.5" hidden="false" customHeight="true" outlineLevel="0" collapsed="false">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ustomFormat="false" ht="16.5" hidden="false" customHeight="true" outlineLevel="0" collapsed="false">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ustomFormat="false" ht="16.5" hidden="false" customHeight="true" outlineLevel="0" collapsed="false">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ustomFormat="false" ht="16.5" hidden="false" customHeight="true" outlineLevel="0" collapsed="false">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ustomFormat="false" ht="16.5" hidden="false" customHeight="true" outlineLevel="0" collapsed="false">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ustomFormat="false" ht="16.5" hidden="false" customHeight="true" outlineLevel="0" collapsed="false">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ustomFormat="false" ht="16.5" hidden="false" customHeight="true" outlineLevel="0" collapsed="false">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ustomFormat="false" ht="16.5" hidden="false" customHeight="true" outlineLevel="0" collapsed="false">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ustomFormat="false" ht="16.5" hidden="false" customHeight="true" outlineLevel="0" collapsed="false">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ustomFormat="false" ht="16.5" hidden="false" customHeight="true" outlineLevel="0" collapsed="false">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ustomFormat="false" ht="16.5" hidden="false" customHeight="true" outlineLevel="0" collapsed="false">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ustomFormat="false" ht="16.5" hidden="false" customHeight="true" outlineLevel="0" collapsed="false">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ustomFormat="false" ht="16.5" hidden="false" customHeight="true" outlineLevel="0" collapsed="false">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ustomFormat="false" ht="16.5" hidden="false" customHeight="true" outlineLevel="0" collapsed="false">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ustomFormat="false" ht="16.5" hidden="false" customHeight="true" outlineLevel="0" collapsed="false">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ustomFormat="false" ht="16.5" hidden="false" customHeight="true" outlineLevel="0" collapsed="false">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ustomFormat="false" ht="16.5" hidden="false" customHeight="true" outlineLevel="0" collapsed="false">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ustomFormat="false" ht="16.5" hidden="false" customHeight="true" outlineLevel="0" collapsed="false">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ustomFormat="false" ht="16.5" hidden="false" customHeight="true" outlineLevel="0" collapsed="false">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ustomFormat="false" ht="16.5" hidden="false" customHeight="true" outlineLevel="0" collapsed="false">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ustomFormat="false" ht="16.5" hidden="false" customHeight="true" outlineLevel="0" collapsed="false">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ustomFormat="false" ht="16.5" hidden="false" customHeight="true" outlineLevel="0" collapsed="false">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ustomFormat="false" ht="16.5" hidden="false" customHeight="true" outlineLevel="0" collapsed="false">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ustomFormat="false" ht="16.5" hidden="false" customHeight="true" outlineLevel="0" collapsed="false">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ustomFormat="false" ht="16.5" hidden="false" customHeight="true" outlineLevel="0" collapsed="false">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ustomFormat="false" ht="16.5" hidden="false" customHeight="true" outlineLevel="0" collapsed="false">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ustomFormat="false" ht="16.5" hidden="false" customHeight="true" outlineLevel="0" collapsed="false">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ustomFormat="false" ht="16.5" hidden="false" customHeight="true" outlineLevel="0" collapsed="false">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ustomFormat="false" ht="16.5" hidden="false" customHeight="true" outlineLevel="0" collapsed="false">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ustomFormat="false" ht="16.5" hidden="false" customHeight="true" outlineLevel="0" collapsed="false">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ustomFormat="false" ht="16.5" hidden="false" customHeight="true" outlineLevel="0" collapsed="false">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ustomFormat="false" ht="16.5" hidden="false" customHeight="true" outlineLevel="0" collapsed="false">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ustomFormat="false" ht="16.5" hidden="false" customHeight="true" outlineLevel="0" collapsed="false">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ustomFormat="false" ht="16.5" hidden="false" customHeight="true" outlineLevel="0" collapsed="false">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ustomFormat="false" ht="16.5" hidden="false" customHeight="true" outlineLevel="0" collapsed="false">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ustomFormat="false" ht="16.5" hidden="false" customHeight="true" outlineLevel="0" collapsed="false">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ustomFormat="false" ht="16.5" hidden="false" customHeight="true" outlineLevel="0" collapsed="false">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ustomFormat="false" ht="16.5" hidden="false" customHeight="true" outlineLevel="0" collapsed="false">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ustomFormat="false" ht="16.5" hidden="false" customHeight="true" outlineLevel="0" collapsed="false">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ustomFormat="false" ht="16.5" hidden="false" customHeight="true" outlineLevel="0" collapsed="false">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ustomFormat="false" ht="16.5" hidden="false" customHeight="true" outlineLevel="0" collapsed="false">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ustomFormat="false" ht="16.5" hidden="false" customHeight="true" outlineLevel="0" collapsed="false">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ustomFormat="false" ht="16.5" hidden="false" customHeight="true" outlineLevel="0" collapsed="false">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ustomFormat="false" ht="16.5" hidden="false" customHeight="true" outlineLevel="0" collapsed="false">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ustomFormat="false" ht="16.5" hidden="false" customHeight="true" outlineLevel="0" collapsed="false">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ustomFormat="false" ht="16.5" hidden="false" customHeight="true" outlineLevel="0" collapsed="false">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ustomFormat="false" ht="16.5" hidden="false" customHeight="true" outlineLevel="0" collapsed="false">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ustomFormat="false" ht="16.5" hidden="false" customHeight="true" outlineLevel="0" collapsed="false">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ustomFormat="false" ht="16.5" hidden="false" customHeight="true" outlineLevel="0" collapsed="false">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ustomFormat="false" ht="16.5" hidden="false" customHeight="true" outlineLevel="0" collapsed="false">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ustomFormat="false" ht="16.5" hidden="false" customHeight="true" outlineLevel="0" collapsed="false">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ustomFormat="false" ht="16.5" hidden="false" customHeight="true" outlineLevel="0" collapsed="false">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ustomFormat="false" ht="16.5" hidden="false" customHeight="true" outlineLevel="0" collapsed="false">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ustomFormat="false" ht="16.5" hidden="false" customHeight="true" outlineLevel="0" collapsed="false">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ustomFormat="false" ht="16.5" hidden="false" customHeight="true" outlineLevel="0" collapsed="false">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ustomFormat="false" ht="16.5" hidden="false" customHeight="true" outlineLevel="0" collapsed="false">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ustomFormat="false" ht="16.5" hidden="false" customHeight="true" outlineLevel="0" collapsed="false">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ustomFormat="false" ht="16.5" hidden="false" customHeight="true" outlineLevel="0" collapsed="false">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ustomFormat="false" ht="16.5" hidden="false" customHeight="true" outlineLevel="0" collapsed="false">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ustomFormat="false" ht="16.5" hidden="false" customHeight="true" outlineLevel="0" collapsed="false">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ustomFormat="false" ht="16.5" hidden="false" customHeight="true" outlineLevel="0" collapsed="false">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ustomFormat="false" ht="16.5" hidden="false" customHeight="true" outlineLevel="0" collapsed="false">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ustomFormat="false" ht="16.5" hidden="false" customHeight="true" outlineLevel="0" collapsed="false">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ustomFormat="false" ht="16.5" hidden="false" customHeight="true" outlineLevel="0" collapsed="false">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ustomFormat="false" ht="16.5" hidden="false" customHeight="true" outlineLevel="0" collapsed="false">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ustomFormat="false" ht="16.5" hidden="false" customHeight="true" outlineLevel="0" collapsed="false">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ustomFormat="false" ht="16.5" hidden="false" customHeight="true" outlineLevel="0" collapsed="false">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ustomFormat="false" ht="16.5" hidden="false" customHeight="true" outlineLevel="0" collapsed="false">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ustomFormat="false" ht="16.5" hidden="false" customHeight="true" outlineLevel="0" collapsed="false">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ustomFormat="false" ht="16.5" hidden="false" customHeight="true" outlineLevel="0" collapsed="false">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ustomFormat="false" ht="16.5" hidden="false" customHeight="true" outlineLevel="0" collapsed="false">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ustomFormat="false" ht="16.5" hidden="false" customHeight="true" outlineLevel="0" collapsed="false">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ustomFormat="false" ht="16.5" hidden="false" customHeight="true" outlineLevel="0" collapsed="false">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ustomFormat="false" ht="16.5" hidden="false" customHeight="true" outlineLevel="0" collapsed="false">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ustomFormat="false" ht="16.5" hidden="false" customHeight="true" outlineLevel="0" collapsed="false">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ustomFormat="false" ht="16.5" hidden="false" customHeight="true" outlineLevel="0" collapsed="false">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ustomFormat="false" ht="16.5" hidden="false" customHeight="true" outlineLevel="0" collapsed="false">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ustomFormat="false" ht="16.5" hidden="false" customHeight="true" outlineLevel="0" collapsed="false">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ustomFormat="false" ht="16.5" hidden="false" customHeight="true" outlineLevel="0" collapsed="false">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ustomFormat="false" ht="16.5" hidden="false" customHeight="true" outlineLevel="0" collapsed="false">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ustomFormat="false" ht="16.5" hidden="false" customHeight="true" outlineLevel="0" collapsed="false">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ustomFormat="false" ht="16.5" hidden="false" customHeight="true" outlineLevel="0" collapsed="false">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ustomFormat="false" ht="16.5" hidden="false" customHeight="true" outlineLevel="0" collapsed="false">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ustomFormat="false" ht="16.5" hidden="false" customHeight="true" outlineLevel="0" collapsed="false">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ustomFormat="false" ht="16.5" hidden="false" customHeight="true" outlineLevel="0" collapsed="false">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ustomFormat="false" ht="16.5" hidden="false" customHeight="true" outlineLevel="0" collapsed="false">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ustomFormat="false" ht="16.5" hidden="false" customHeight="true" outlineLevel="0" collapsed="false">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ustomFormat="false" ht="16.5" hidden="false" customHeight="true" outlineLevel="0" collapsed="false">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ustomFormat="false" ht="16.5" hidden="false" customHeight="true" outlineLevel="0" collapsed="false">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ustomFormat="false" ht="16.5" hidden="false" customHeight="true" outlineLevel="0" collapsed="false">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ustomFormat="false" ht="16.5" hidden="false" customHeight="true" outlineLevel="0" collapsed="false">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ustomFormat="false" ht="16.5" hidden="false" customHeight="true" outlineLevel="0" collapsed="false">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ustomFormat="false" ht="16.5" hidden="false" customHeight="true" outlineLevel="0" collapsed="false">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ustomFormat="false" ht="16.5" hidden="false" customHeight="true" outlineLevel="0" collapsed="false">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ustomFormat="false" ht="16.5" hidden="false" customHeight="true" outlineLevel="0" collapsed="false">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ustomFormat="false" ht="16.5" hidden="false" customHeight="true" outlineLevel="0" collapsed="false">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ustomFormat="false" ht="16.5" hidden="false" customHeight="true" outlineLevel="0" collapsed="false">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ustomFormat="false" ht="16.5" hidden="false" customHeight="true" outlineLevel="0" collapsed="false">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ustomFormat="false" ht="16.5" hidden="false" customHeight="true" outlineLevel="0" collapsed="false">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ustomFormat="false" ht="16.5" hidden="false" customHeight="true" outlineLevel="0" collapsed="false">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ustomFormat="false" ht="16.5" hidden="false" customHeight="true" outlineLevel="0" collapsed="false">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ustomFormat="false" ht="16.5" hidden="false" customHeight="true" outlineLevel="0" collapsed="false">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ustomFormat="false" ht="16.5" hidden="false" customHeight="true" outlineLevel="0" collapsed="false">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ustomFormat="false" ht="16.5" hidden="false" customHeight="true" outlineLevel="0" collapsed="false">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ustomFormat="false" ht="16.5" hidden="false" customHeight="true" outlineLevel="0" collapsed="false">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ustomFormat="false" ht="16.5" hidden="false" customHeight="true" outlineLevel="0" collapsed="false">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ustomFormat="false" ht="16.5" hidden="false" customHeight="true" outlineLevel="0" collapsed="false">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ustomFormat="false" ht="16.5" hidden="false" customHeight="true" outlineLevel="0" collapsed="false">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ustomFormat="false" ht="16.5" hidden="false" customHeight="true" outlineLevel="0" collapsed="false">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ustomFormat="false" ht="16.5" hidden="false" customHeight="true" outlineLevel="0" collapsed="false">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ustomFormat="false" ht="16.5" hidden="false" customHeight="true" outlineLevel="0" collapsed="false">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ustomFormat="false" ht="16.5" hidden="false" customHeight="true" outlineLevel="0" collapsed="false">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ustomFormat="false" ht="16.5" hidden="false" customHeight="true" outlineLevel="0" collapsed="false">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ustomFormat="false" ht="16.5" hidden="false" customHeight="true" outlineLevel="0" collapsed="false">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ustomFormat="false" ht="16.5" hidden="false" customHeight="true" outlineLevel="0" collapsed="false">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ustomFormat="false" ht="16.5" hidden="false" customHeight="true" outlineLevel="0" collapsed="false">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ustomFormat="false" ht="16.5" hidden="false" customHeight="true" outlineLevel="0" collapsed="false">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ustomFormat="false" ht="16.5" hidden="false" customHeight="true" outlineLevel="0" collapsed="false">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ustomFormat="false" ht="16.5" hidden="false" customHeight="true" outlineLevel="0" collapsed="false">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ustomFormat="false" ht="16.5" hidden="false" customHeight="true" outlineLevel="0" collapsed="false">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ustomFormat="false" ht="16.5" hidden="false" customHeight="true" outlineLevel="0" collapsed="false">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ustomFormat="false" ht="16.5" hidden="false" customHeight="true" outlineLevel="0" collapsed="false">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ustomFormat="false" ht="16.5" hidden="false" customHeight="true" outlineLevel="0" collapsed="false">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ustomFormat="false" ht="16.5" hidden="false" customHeight="true" outlineLevel="0" collapsed="false">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ustomFormat="false" ht="16.5" hidden="false" customHeight="true" outlineLevel="0" collapsed="false">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ustomFormat="false" ht="16.5" hidden="false" customHeight="true" outlineLevel="0" collapsed="false">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ustomFormat="false" ht="16.5" hidden="false" customHeight="true" outlineLevel="0" collapsed="false">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ustomFormat="false" ht="16.5" hidden="false" customHeight="true" outlineLevel="0" collapsed="false">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ustomFormat="false" ht="16.5" hidden="false" customHeight="true" outlineLevel="0" collapsed="false">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ustomFormat="false" ht="16.5" hidden="false" customHeight="true" outlineLevel="0" collapsed="false">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ustomFormat="false" ht="16.5" hidden="false" customHeight="true" outlineLevel="0" collapsed="false">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ustomFormat="false" ht="16.5" hidden="false" customHeight="true" outlineLevel="0" collapsed="false">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ustomFormat="false" ht="16.5" hidden="false" customHeight="true" outlineLevel="0" collapsed="false">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ustomFormat="false" ht="16.5" hidden="false" customHeight="true" outlineLevel="0" collapsed="false">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ustomFormat="false" ht="16.5" hidden="false" customHeight="true" outlineLevel="0" collapsed="false">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ustomFormat="false" ht="16.5" hidden="false" customHeight="true" outlineLevel="0" collapsed="false">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ustomFormat="false" ht="16.5" hidden="false" customHeight="true" outlineLevel="0" collapsed="false">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ustomFormat="false" ht="16.5" hidden="false" customHeight="true" outlineLevel="0" collapsed="false">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ustomFormat="false" ht="16.5" hidden="false" customHeight="true" outlineLevel="0" collapsed="false">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ustomFormat="false" ht="16.5" hidden="false" customHeight="true" outlineLevel="0" collapsed="false">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ustomFormat="false" ht="16.5" hidden="false" customHeight="true" outlineLevel="0" collapsed="false">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ustomFormat="false" ht="16.5" hidden="false" customHeight="true" outlineLevel="0" collapsed="false">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ustomFormat="false" ht="16.5" hidden="false" customHeight="true" outlineLevel="0" collapsed="false">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ustomFormat="false" ht="16.5" hidden="false" customHeight="true" outlineLevel="0" collapsed="false">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ustomFormat="false" ht="16.5" hidden="false" customHeight="true" outlineLevel="0" collapsed="false">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ustomFormat="false" ht="16.5" hidden="false" customHeight="true" outlineLevel="0" collapsed="false">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ustomFormat="false" ht="16.5" hidden="false" customHeight="true" outlineLevel="0" collapsed="false">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ustomFormat="false" ht="16.5" hidden="false" customHeight="true" outlineLevel="0" collapsed="false">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ustomFormat="false" ht="16.5" hidden="false" customHeight="true" outlineLevel="0" collapsed="false">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ustomFormat="false" ht="16.5" hidden="false" customHeight="true" outlineLevel="0" collapsed="false">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ustomFormat="false" ht="16.5" hidden="false" customHeight="true" outlineLevel="0" collapsed="false">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ustomFormat="false" ht="16.5" hidden="false" customHeight="true" outlineLevel="0" collapsed="false">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ustomFormat="false" ht="16.5" hidden="false" customHeight="true" outlineLevel="0" collapsed="false">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ustomFormat="false" ht="16.5" hidden="false" customHeight="true" outlineLevel="0" collapsed="false">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ustomFormat="false" ht="16.5" hidden="false" customHeight="true" outlineLevel="0" collapsed="false">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ustomFormat="false" ht="16.5" hidden="false" customHeight="true" outlineLevel="0" collapsed="false">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ustomFormat="false" ht="16.5" hidden="false" customHeight="true" outlineLevel="0" collapsed="false">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ustomFormat="false" ht="16.5" hidden="false" customHeight="true" outlineLevel="0" collapsed="false">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ustomFormat="false" ht="16.5" hidden="false" customHeight="true" outlineLevel="0" collapsed="false">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ustomFormat="false" ht="16.5" hidden="false" customHeight="true" outlineLevel="0" collapsed="false">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ustomFormat="false" ht="16.5" hidden="false" customHeight="true" outlineLevel="0" collapsed="false">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ustomFormat="false" ht="16.5" hidden="false" customHeight="true" outlineLevel="0" collapsed="false">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ustomFormat="false" ht="16.5" hidden="false" customHeight="true" outlineLevel="0" collapsed="false">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ustomFormat="false" ht="16.5" hidden="false" customHeight="true" outlineLevel="0" collapsed="false">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ustomFormat="false" ht="16.5" hidden="false" customHeight="true" outlineLevel="0" collapsed="false">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ustomFormat="false" ht="16.5" hidden="false" customHeight="true" outlineLevel="0" collapsed="false">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ustomFormat="false" ht="16.5" hidden="false" customHeight="true" outlineLevel="0" collapsed="false">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ustomFormat="false" ht="16.5" hidden="false" customHeight="true" outlineLevel="0" collapsed="false">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ustomFormat="false" ht="16.5" hidden="false" customHeight="true" outlineLevel="0" collapsed="false">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ustomFormat="false" ht="16.5" hidden="false" customHeight="true" outlineLevel="0" collapsed="false">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ustomFormat="false" ht="16.5" hidden="false" customHeight="true" outlineLevel="0" collapsed="false">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ustomFormat="false" ht="16.5" hidden="false" customHeight="true" outlineLevel="0" collapsed="false">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ustomFormat="false" ht="16.5" hidden="false" customHeight="true" outlineLevel="0" collapsed="false">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ustomFormat="false" ht="16.5" hidden="false" customHeight="true" outlineLevel="0" collapsed="false">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ustomFormat="false" ht="16.5" hidden="false" customHeight="true" outlineLevel="0" collapsed="false">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ustomFormat="false" ht="16.5" hidden="false" customHeight="true" outlineLevel="0" collapsed="false">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ustomFormat="false" ht="16.5" hidden="false" customHeight="true" outlineLevel="0" collapsed="false">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ustomFormat="false" ht="16.5" hidden="false" customHeight="true" outlineLevel="0" collapsed="false">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ustomFormat="false" ht="16.5" hidden="false" customHeight="true" outlineLevel="0" collapsed="false">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ustomFormat="false" ht="16.5" hidden="false" customHeight="true" outlineLevel="0" collapsed="false">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ustomFormat="false" ht="16.5" hidden="false" customHeight="true" outlineLevel="0" collapsed="false">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ustomFormat="false" ht="16.5" hidden="false" customHeight="true" outlineLevel="0" collapsed="false">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ustomFormat="false" ht="16.5" hidden="false" customHeight="true" outlineLevel="0" collapsed="false">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ustomFormat="false" ht="16.5" hidden="false" customHeight="true" outlineLevel="0" collapsed="false">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ustomFormat="false" ht="16.5" hidden="false" customHeight="true" outlineLevel="0" collapsed="false">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ustomFormat="false" ht="16.5" hidden="false" customHeight="true" outlineLevel="0" collapsed="false">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ustomFormat="false" ht="16.5" hidden="false" customHeight="true" outlineLevel="0" collapsed="false">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ustomFormat="false" ht="16.5" hidden="false" customHeight="true" outlineLevel="0" collapsed="false">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ustomFormat="false" ht="16.5" hidden="false" customHeight="true" outlineLevel="0" collapsed="false">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ustomFormat="false" ht="16.5" hidden="false" customHeight="true" outlineLevel="0" collapsed="false">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ustomFormat="false" ht="16.5" hidden="false" customHeight="true" outlineLevel="0" collapsed="false">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ustomFormat="false" ht="16.5" hidden="false" customHeight="true" outlineLevel="0" collapsed="false">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ustomFormat="false" ht="16.5" hidden="false" customHeight="true" outlineLevel="0" collapsed="false">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ustomFormat="false" ht="16.5" hidden="false" customHeight="true" outlineLevel="0" collapsed="false">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ustomFormat="false" ht="16.5" hidden="false" customHeight="true" outlineLevel="0" collapsed="false">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ustomFormat="false" ht="16.5" hidden="false" customHeight="true" outlineLevel="0" collapsed="false">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ustomFormat="false" ht="16.5" hidden="false" customHeight="true" outlineLevel="0" collapsed="false">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ustomFormat="false" ht="16.5" hidden="false" customHeight="true" outlineLevel="0" collapsed="false">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ustomFormat="false" ht="16.5" hidden="false" customHeight="true" outlineLevel="0" collapsed="false">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ustomFormat="false" ht="16.5" hidden="false" customHeight="true" outlineLevel="0" collapsed="false">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ustomFormat="false" ht="16.5" hidden="false" customHeight="true" outlineLevel="0" collapsed="false">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ustomFormat="false" ht="16.5" hidden="false" customHeight="true" outlineLevel="0" collapsed="false">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ustomFormat="false" ht="16.5" hidden="false" customHeight="true" outlineLevel="0" collapsed="false">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ustomFormat="false" ht="16.5" hidden="false" customHeight="true" outlineLevel="0" collapsed="false">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ustomFormat="false" ht="16.5" hidden="false" customHeight="true" outlineLevel="0" collapsed="false">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ustomFormat="false" ht="16.5" hidden="false" customHeight="true" outlineLevel="0" collapsed="false">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ustomFormat="false" ht="16.5" hidden="false" customHeight="true" outlineLevel="0" collapsed="false">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ustomFormat="false" ht="16.5" hidden="false" customHeight="true" outlineLevel="0" collapsed="false">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ustomFormat="false" ht="16.5" hidden="false" customHeight="true" outlineLevel="0" collapsed="false">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ustomFormat="false" ht="16.5" hidden="false" customHeight="true" outlineLevel="0" collapsed="false">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ustomFormat="false" ht="16.5" hidden="false" customHeight="true" outlineLevel="0" collapsed="false">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ustomFormat="false" ht="16.5" hidden="false" customHeight="true" outlineLevel="0" collapsed="false">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ustomFormat="false" ht="16.5" hidden="false" customHeight="true" outlineLevel="0" collapsed="false">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ustomFormat="false" ht="16.5" hidden="false" customHeight="true" outlineLevel="0" collapsed="false">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ustomFormat="false" ht="16.5" hidden="false" customHeight="true" outlineLevel="0" collapsed="false">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ustomFormat="false" ht="16.5" hidden="false" customHeight="true" outlineLevel="0" collapsed="false">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ustomFormat="false" ht="16.5" hidden="false" customHeight="true" outlineLevel="0" collapsed="false">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ustomFormat="false" ht="16.5" hidden="false" customHeight="true" outlineLevel="0" collapsed="false">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ustomFormat="false" ht="16.5" hidden="false" customHeight="true" outlineLevel="0" collapsed="false">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ustomFormat="false" ht="16.5" hidden="false" customHeight="true" outlineLevel="0" collapsed="false">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ustomFormat="false" ht="16.5" hidden="false" customHeight="true" outlineLevel="0" collapsed="false">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ustomFormat="false" ht="16.5" hidden="false" customHeight="true" outlineLevel="0" collapsed="false">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ustomFormat="false" ht="16.5" hidden="false" customHeight="true" outlineLevel="0" collapsed="false">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ustomFormat="false" ht="16.5" hidden="false" customHeight="true" outlineLevel="0" collapsed="false">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ustomFormat="false" ht="16.5" hidden="false" customHeight="true" outlineLevel="0" collapsed="false">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ustomFormat="false" ht="16.5" hidden="false" customHeight="true" outlineLevel="0" collapsed="false">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ustomFormat="false" ht="16.5" hidden="false" customHeight="true" outlineLevel="0" collapsed="false">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ustomFormat="false" ht="16.5" hidden="false" customHeight="true" outlineLevel="0" collapsed="false">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ustomFormat="false" ht="16.5" hidden="false" customHeight="true" outlineLevel="0" collapsed="false">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ustomFormat="false" ht="16.5" hidden="false" customHeight="true" outlineLevel="0" collapsed="false">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ustomFormat="false" ht="16.5" hidden="false" customHeight="true" outlineLevel="0" collapsed="false">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ustomFormat="false" ht="16.5" hidden="false" customHeight="true" outlineLevel="0" collapsed="false">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ustomFormat="false" ht="16.5" hidden="false" customHeight="true" outlineLevel="0" collapsed="false">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ustomFormat="false" ht="16.5" hidden="false" customHeight="true" outlineLevel="0" collapsed="false">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ustomFormat="false" ht="16.5" hidden="false" customHeight="true" outlineLevel="0" collapsed="false">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ustomFormat="false" ht="16.5" hidden="false" customHeight="true" outlineLevel="0" collapsed="false">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ustomFormat="false" ht="16.5" hidden="false" customHeight="true" outlineLevel="0" collapsed="false">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ustomFormat="false" ht="16.5" hidden="false" customHeight="true" outlineLevel="0" collapsed="false">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ustomFormat="false" ht="16.5" hidden="false" customHeight="true" outlineLevel="0" collapsed="false">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ustomFormat="false" ht="16.5" hidden="false" customHeight="true" outlineLevel="0" collapsed="false">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ustomFormat="false" ht="16.5" hidden="false" customHeight="true" outlineLevel="0" collapsed="false">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ustomFormat="false" ht="16.5" hidden="false" customHeight="true" outlineLevel="0" collapsed="false">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ustomFormat="false" ht="16.5" hidden="false" customHeight="true" outlineLevel="0" collapsed="false">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ustomFormat="false" ht="16.5" hidden="false" customHeight="true" outlineLevel="0" collapsed="false">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ustomFormat="false" ht="16.5" hidden="false" customHeight="true" outlineLevel="0" collapsed="false">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ustomFormat="false" ht="16.5" hidden="false" customHeight="true" outlineLevel="0" collapsed="false">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ustomFormat="false" ht="16.5" hidden="false" customHeight="true" outlineLevel="0" collapsed="false">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ustomFormat="false" ht="16.5" hidden="false" customHeight="true" outlineLevel="0" collapsed="false">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ustomFormat="false" ht="16.5" hidden="false" customHeight="true" outlineLevel="0" collapsed="false">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ustomFormat="false" ht="16.5" hidden="false" customHeight="true" outlineLevel="0" collapsed="false">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ustomFormat="false" ht="16.5" hidden="false" customHeight="true" outlineLevel="0" collapsed="false">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ustomFormat="false" ht="16.5" hidden="false" customHeight="true" outlineLevel="0" collapsed="false">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ustomFormat="false" ht="16.5" hidden="false" customHeight="true" outlineLevel="0" collapsed="false">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ustomFormat="false" ht="16.5" hidden="false" customHeight="true" outlineLevel="0" collapsed="false">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ustomFormat="false" ht="16.5" hidden="false" customHeight="true" outlineLevel="0" collapsed="false">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ustomFormat="false" ht="16.5" hidden="false" customHeight="true" outlineLevel="0" collapsed="false">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ustomFormat="false" ht="16.5" hidden="false" customHeight="true" outlineLevel="0" collapsed="false">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ustomFormat="false" ht="16.5" hidden="false" customHeight="true" outlineLevel="0" collapsed="false">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ustomFormat="false" ht="16.5" hidden="false" customHeight="true" outlineLevel="0" collapsed="false">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ustomFormat="false" ht="16.5" hidden="false" customHeight="true" outlineLevel="0" collapsed="false">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ustomFormat="false" ht="16.5" hidden="false" customHeight="true" outlineLevel="0" collapsed="false">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ustomFormat="false" ht="16.5" hidden="false" customHeight="true" outlineLevel="0" collapsed="false">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ustomFormat="false" ht="16.5" hidden="false" customHeight="true" outlineLevel="0" collapsed="false">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ustomFormat="false" ht="16.5" hidden="false" customHeight="true" outlineLevel="0" collapsed="false">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ustomFormat="false" ht="16.5" hidden="false" customHeight="true" outlineLevel="0" collapsed="false">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ustomFormat="false" ht="16.5" hidden="false" customHeight="true" outlineLevel="0" collapsed="false">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ustomFormat="false" ht="16.5" hidden="false" customHeight="true" outlineLevel="0" collapsed="false">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ustomFormat="false" ht="16.5" hidden="false" customHeight="true" outlineLevel="0" collapsed="false">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ustomFormat="false" ht="16.5" hidden="false" customHeight="true" outlineLevel="0" collapsed="false">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ustomFormat="false" ht="16.5" hidden="false" customHeight="true" outlineLevel="0" collapsed="false">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ustomFormat="false" ht="16.5" hidden="false" customHeight="true" outlineLevel="0" collapsed="false">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ustomFormat="false" ht="16.5" hidden="false" customHeight="true" outlineLevel="0" collapsed="false">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ustomFormat="false" ht="16.5" hidden="false" customHeight="true" outlineLevel="0" collapsed="false">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ustomFormat="false" ht="16.5" hidden="false" customHeight="true" outlineLevel="0" collapsed="false">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ustomFormat="false" ht="16.5" hidden="false" customHeight="true" outlineLevel="0" collapsed="false">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ustomFormat="false" ht="16.5" hidden="false" customHeight="true" outlineLevel="0" collapsed="false">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ustomFormat="false" ht="16.5" hidden="false" customHeight="true" outlineLevel="0" collapsed="false">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ustomFormat="false" ht="16.5" hidden="false" customHeight="true" outlineLevel="0" collapsed="false">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ustomFormat="false" ht="16.5" hidden="false" customHeight="true" outlineLevel="0" collapsed="false">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ustomFormat="false" ht="16.5" hidden="false" customHeight="true" outlineLevel="0" collapsed="false">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ustomFormat="false" ht="16.5" hidden="false" customHeight="true" outlineLevel="0" collapsed="false">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ustomFormat="false" ht="16.5" hidden="false" customHeight="true" outlineLevel="0" collapsed="false">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ustomFormat="false" ht="16.5" hidden="false" customHeight="true" outlineLevel="0" collapsed="false">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ustomFormat="false" ht="16.5" hidden="false" customHeight="true" outlineLevel="0" collapsed="false">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ustomFormat="false" ht="16.5" hidden="false" customHeight="true" outlineLevel="0" collapsed="false">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ustomFormat="false" ht="16.5" hidden="false" customHeight="true" outlineLevel="0" collapsed="false">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ustomFormat="false" ht="16.5" hidden="false" customHeight="true" outlineLevel="0" collapsed="false">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ustomFormat="false" ht="16.5" hidden="false" customHeight="true" outlineLevel="0" collapsed="false">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ustomFormat="false" ht="16.5" hidden="false" customHeight="true" outlineLevel="0" collapsed="false">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ustomFormat="false" ht="16.5" hidden="false" customHeight="true" outlineLevel="0" collapsed="false">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ustomFormat="false" ht="16.5" hidden="false" customHeight="true" outlineLevel="0" collapsed="false">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ustomFormat="false" ht="16.5" hidden="false" customHeight="true" outlineLevel="0" collapsed="false">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ustomFormat="false" ht="16.5" hidden="false" customHeight="true" outlineLevel="0" collapsed="false">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ustomFormat="false" ht="16.5" hidden="false" customHeight="true" outlineLevel="0" collapsed="false">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ustomFormat="false" ht="16.5" hidden="false" customHeight="true" outlineLevel="0" collapsed="false">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ustomFormat="false" ht="16.5" hidden="false" customHeight="true" outlineLevel="0" collapsed="false">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ustomFormat="false" ht="16.5" hidden="false" customHeight="true" outlineLevel="0" collapsed="false">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ustomFormat="false" ht="16.5" hidden="false" customHeight="true" outlineLevel="0" collapsed="false">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ustomFormat="false" ht="16.5" hidden="false" customHeight="true" outlineLevel="0" collapsed="false">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ustomFormat="false" ht="16.5" hidden="false" customHeight="true" outlineLevel="0" collapsed="false">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ustomFormat="false" ht="16.5" hidden="false" customHeight="true" outlineLevel="0" collapsed="false">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ustomFormat="false" ht="16.5" hidden="false" customHeight="true" outlineLevel="0" collapsed="false">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ustomFormat="false" ht="16.5" hidden="false" customHeight="true" outlineLevel="0" collapsed="false">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ustomFormat="false" ht="16.5" hidden="false" customHeight="true" outlineLevel="0" collapsed="false">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ustomFormat="false" ht="16.5" hidden="false" customHeight="true" outlineLevel="0" collapsed="false">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ustomFormat="false" ht="16.5" hidden="false" customHeight="true" outlineLevel="0" collapsed="false">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ustomFormat="false" ht="16.5" hidden="false" customHeight="true" outlineLevel="0" collapsed="false">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ustomFormat="false" ht="16.5" hidden="false" customHeight="true" outlineLevel="0" collapsed="false">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ustomFormat="false" ht="16.5" hidden="false" customHeight="true" outlineLevel="0" collapsed="false">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ustomFormat="false" ht="16.5" hidden="false" customHeight="true" outlineLevel="0" collapsed="false">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ustomFormat="false" ht="16.5" hidden="false" customHeight="true" outlineLevel="0" collapsed="false">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ustomFormat="false" ht="16.5" hidden="false" customHeight="true" outlineLevel="0" collapsed="false">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ustomFormat="false" ht="16.5" hidden="false" customHeight="true" outlineLevel="0" collapsed="false">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ustomFormat="false" ht="16.5" hidden="false" customHeight="true" outlineLevel="0" collapsed="false">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ustomFormat="false" ht="16.5" hidden="false" customHeight="true" outlineLevel="0" collapsed="false">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ustomFormat="false" ht="16.5" hidden="false" customHeight="true" outlineLevel="0" collapsed="false">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ustomFormat="false" ht="16.5" hidden="false" customHeight="true" outlineLevel="0" collapsed="false">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ustomFormat="false" ht="16.5" hidden="false" customHeight="true" outlineLevel="0" collapsed="false">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ustomFormat="false" ht="16.5" hidden="false" customHeight="true" outlineLevel="0" collapsed="false">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ustomFormat="false" ht="16.5" hidden="false" customHeight="true" outlineLevel="0" collapsed="false">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ustomFormat="false" ht="16.5" hidden="false" customHeight="true" outlineLevel="0" collapsed="false">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ustomFormat="false" ht="16.5" hidden="false" customHeight="true" outlineLevel="0" collapsed="false">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ustomFormat="false" ht="16.5" hidden="false" customHeight="true" outlineLevel="0" collapsed="false">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ustomFormat="false" ht="16.5" hidden="false" customHeight="true" outlineLevel="0" collapsed="false">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ustomFormat="false" ht="16.5" hidden="false" customHeight="true" outlineLevel="0" collapsed="false">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ustomFormat="false" ht="16.5" hidden="false" customHeight="true" outlineLevel="0" collapsed="false">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ustomFormat="false" ht="16.5" hidden="false" customHeight="true" outlineLevel="0" collapsed="false">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ustomFormat="false" ht="16.5" hidden="false" customHeight="true" outlineLevel="0" collapsed="false">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ustomFormat="false" ht="16.5" hidden="false" customHeight="true" outlineLevel="0" collapsed="false">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ustomFormat="false" ht="16.5" hidden="false" customHeight="true" outlineLevel="0" collapsed="false">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ustomFormat="false" ht="16.5" hidden="false" customHeight="true" outlineLevel="0" collapsed="false">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ustomFormat="false" ht="16.5" hidden="false" customHeight="true" outlineLevel="0" collapsed="false">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ustomFormat="false" ht="16.5" hidden="false" customHeight="true" outlineLevel="0" collapsed="false">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ustomFormat="false" ht="16.5" hidden="false" customHeight="true" outlineLevel="0" collapsed="false">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ustomFormat="false" ht="16.5" hidden="false" customHeight="true" outlineLevel="0" collapsed="false">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ustomFormat="false" ht="16.5" hidden="false" customHeight="true" outlineLevel="0" collapsed="false">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ustomFormat="false" ht="16.5" hidden="false" customHeight="true" outlineLevel="0" collapsed="false">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ustomFormat="false" ht="16.5" hidden="false" customHeight="true" outlineLevel="0" collapsed="false">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ustomFormat="false" ht="16.5" hidden="false" customHeight="true" outlineLevel="0" collapsed="false">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ustomFormat="false" ht="16.5" hidden="false" customHeight="true" outlineLevel="0" collapsed="false">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ustomFormat="false" ht="16.5" hidden="false" customHeight="true" outlineLevel="0" collapsed="false">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ustomFormat="false" ht="16.5" hidden="false" customHeight="true" outlineLevel="0" collapsed="false">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ustomFormat="false" ht="16.5" hidden="false" customHeight="true" outlineLevel="0" collapsed="false">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ustomFormat="false" ht="16.5" hidden="false" customHeight="true" outlineLevel="0" collapsed="false">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ustomFormat="false" ht="16.5" hidden="false" customHeight="true" outlineLevel="0" collapsed="false">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ustomFormat="false" ht="16.5" hidden="false" customHeight="true" outlineLevel="0" collapsed="false">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ustomFormat="false" ht="16.5" hidden="false" customHeight="true" outlineLevel="0" collapsed="false">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ustomFormat="false" ht="16.5" hidden="false" customHeight="true" outlineLevel="0" collapsed="false">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ustomFormat="false" ht="16.5" hidden="false" customHeight="true" outlineLevel="0" collapsed="false">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ustomFormat="false" ht="16.5" hidden="false" customHeight="true" outlineLevel="0" collapsed="false">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ustomFormat="false" ht="16.5" hidden="false" customHeight="true" outlineLevel="0" collapsed="false">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ustomFormat="false" ht="16.5" hidden="false" customHeight="true" outlineLevel="0" collapsed="false">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ustomFormat="false" ht="16.5" hidden="false" customHeight="true" outlineLevel="0" collapsed="false">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ustomFormat="false" ht="16.5" hidden="false" customHeight="true" outlineLevel="0" collapsed="false">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ustomFormat="false" ht="16.5" hidden="false" customHeight="true" outlineLevel="0" collapsed="false">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ustomFormat="false" ht="16.5" hidden="false" customHeight="true" outlineLevel="0" collapsed="false">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ustomFormat="false" ht="16.5" hidden="false" customHeight="true" outlineLevel="0" collapsed="false">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ustomFormat="false" ht="16.5" hidden="false" customHeight="true" outlineLevel="0" collapsed="false">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ustomFormat="false" ht="16.5" hidden="false" customHeight="true" outlineLevel="0" collapsed="false">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ustomFormat="false" ht="16.5" hidden="false" customHeight="true" outlineLevel="0" collapsed="false">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ustomFormat="false" ht="16.5" hidden="false" customHeight="true" outlineLevel="0" collapsed="false">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ustomFormat="false" ht="16.5" hidden="false" customHeight="true" outlineLevel="0" collapsed="false">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ustomFormat="false" ht="16.5" hidden="false" customHeight="true" outlineLevel="0" collapsed="false">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ustomFormat="false" ht="16.5" hidden="false" customHeight="true" outlineLevel="0" collapsed="false">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ustomFormat="false" ht="16.5" hidden="false" customHeight="true" outlineLevel="0" collapsed="false">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ustomFormat="false" ht="16.5" hidden="false" customHeight="true" outlineLevel="0" collapsed="false">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ustomFormat="false" ht="16.5" hidden="false" customHeight="true" outlineLevel="0" collapsed="false">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ustomFormat="false" ht="16.5" hidden="false" customHeight="true" outlineLevel="0" collapsed="false">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ustomFormat="false" ht="16.5" hidden="false" customHeight="true" outlineLevel="0" collapsed="false">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ustomFormat="false" ht="16.5" hidden="false" customHeight="true" outlineLevel="0" collapsed="false">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ustomFormat="false" ht="16.5" hidden="false" customHeight="true" outlineLevel="0" collapsed="false">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ustomFormat="false" ht="16.5" hidden="false" customHeight="true" outlineLevel="0" collapsed="false">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ustomFormat="false" ht="16.5" hidden="false" customHeight="true" outlineLevel="0" collapsed="false">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ustomFormat="false" ht="16.5" hidden="false" customHeight="true" outlineLevel="0" collapsed="false">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ustomFormat="false" ht="16.5" hidden="false" customHeight="true" outlineLevel="0" collapsed="false">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ustomFormat="false" ht="16.5" hidden="false" customHeight="true" outlineLevel="0" collapsed="false">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ustomFormat="false" ht="16.5" hidden="false" customHeight="true" outlineLevel="0" collapsed="false">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ustomFormat="false" ht="16.5" hidden="false" customHeight="true" outlineLevel="0" collapsed="false">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ustomFormat="false" ht="16.5" hidden="false" customHeight="true" outlineLevel="0" collapsed="false">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ustomFormat="false" ht="16.5" hidden="false" customHeight="true" outlineLevel="0" collapsed="false">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ustomFormat="false" ht="16.5" hidden="false" customHeight="true" outlineLevel="0" collapsed="false">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ustomFormat="false" ht="16.5" hidden="false" customHeight="true" outlineLevel="0" collapsed="false">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ustomFormat="false" ht="16.5" hidden="false" customHeight="true" outlineLevel="0" collapsed="false">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ustomFormat="false" ht="16.5" hidden="false" customHeight="true" outlineLevel="0" collapsed="false">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ustomFormat="false" ht="16.5" hidden="false" customHeight="true" outlineLevel="0" collapsed="false">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ustomFormat="false" ht="16.5" hidden="false" customHeight="true" outlineLevel="0" collapsed="false">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ustomFormat="false" ht="16.5" hidden="false" customHeight="true" outlineLevel="0" collapsed="false">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ustomFormat="false" ht="16.5" hidden="false" customHeight="true" outlineLevel="0" collapsed="false">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ustomFormat="false" ht="16.5" hidden="false" customHeight="true" outlineLevel="0" collapsed="false">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ustomFormat="false" ht="16.5" hidden="false" customHeight="true" outlineLevel="0" collapsed="false">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ustomFormat="false" ht="16.5" hidden="false" customHeight="true" outlineLevel="0" collapsed="false">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ustomFormat="false" ht="16.5" hidden="false" customHeight="true" outlineLevel="0" collapsed="false">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ustomFormat="false" ht="16.5" hidden="false" customHeight="true" outlineLevel="0" collapsed="false">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ustomFormat="false" ht="16.5" hidden="false" customHeight="true" outlineLevel="0" collapsed="false">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ustomFormat="false" ht="16.5" hidden="false" customHeight="true" outlineLevel="0" collapsed="false">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ustomFormat="false" ht="16.5" hidden="false" customHeight="true" outlineLevel="0" collapsed="false">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ustomFormat="false" ht="16.5" hidden="false" customHeight="true" outlineLevel="0" collapsed="false">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ustomFormat="false" ht="16.5" hidden="false" customHeight="true" outlineLevel="0" collapsed="false">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ustomFormat="false" ht="16.5" hidden="false" customHeight="true" outlineLevel="0" collapsed="false">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ustomFormat="false" ht="16.5" hidden="false" customHeight="true" outlineLevel="0" collapsed="false">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ustomFormat="false" ht="16.5" hidden="false" customHeight="true" outlineLevel="0" collapsed="false">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ustomFormat="false" ht="16.5" hidden="false" customHeight="true" outlineLevel="0" collapsed="false">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ustomFormat="false" ht="16.5" hidden="false" customHeight="true" outlineLevel="0" collapsed="false">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ustomFormat="false" ht="16.5" hidden="false" customHeight="true" outlineLevel="0" collapsed="false">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ustomFormat="false" ht="16.5" hidden="false" customHeight="true" outlineLevel="0" collapsed="false">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ustomFormat="false" ht="16.5" hidden="false" customHeight="true" outlineLevel="0" collapsed="false">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ustomFormat="false" ht="16.5" hidden="false" customHeight="true" outlineLevel="0" collapsed="false">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ustomFormat="false" ht="16.5" hidden="false" customHeight="true" outlineLevel="0" collapsed="false">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ustomFormat="false" ht="16.5" hidden="false" customHeight="true" outlineLevel="0" collapsed="false">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ustomFormat="false" ht="16.5" hidden="false" customHeight="true" outlineLevel="0" collapsed="false">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ustomFormat="false" ht="16.5" hidden="false" customHeight="true" outlineLevel="0" collapsed="false">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ustomFormat="false" ht="16.5" hidden="false" customHeight="true" outlineLevel="0" collapsed="false">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ustomFormat="false" ht="16.5" hidden="false" customHeight="true" outlineLevel="0" collapsed="false">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ustomFormat="false" ht="16.5" hidden="false" customHeight="true" outlineLevel="0" collapsed="false">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ustomFormat="false" ht="16.5" hidden="false" customHeight="true" outlineLevel="0" collapsed="false">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ustomFormat="false" ht="16.5" hidden="false" customHeight="true" outlineLevel="0" collapsed="false">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ustomFormat="false" ht="16.5" hidden="false" customHeight="true" outlineLevel="0" collapsed="false">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ustomFormat="false" ht="16.5" hidden="false" customHeight="true" outlineLevel="0" collapsed="false">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ustomFormat="false" ht="16.5" hidden="false" customHeight="true" outlineLevel="0" collapsed="false">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ustomFormat="false" ht="16.5" hidden="false" customHeight="true" outlineLevel="0" collapsed="false">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ustomFormat="false" ht="16.5" hidden="false" customHeight="true" outlineLevel="0" collapsed="false">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ustomFormat="false" ht="16.5" hidden="false" customHeight="true" outlineLevel="0" collapsed="false">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ustomFormat="false" ht="16.5" hidden="false" customHeight="true" outlineLevel="0" collapsed="false">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ustomFormat="false" ht="16.5" hidden="false" customHeight="true" outlineLevel="0" collapsed="false">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ustomFormat="false" ht="16.5" hidden="false" customHeight="true" outlineLevel="0" collapsed="false">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ustomFormat="false" ht="16.5" hidden="false" customHeight="true" outlineLevel="0" collapsed="false">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ustomFormat="false" ht="16.5" hidden="false" customHeight="true" outlineLevel="0" collapsed="false">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ustomFormat="false" ht="16.5" hidden="false" customHeight="true" outlineLevel="0" collapsed="false">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ustomFormat="false" ht="16.5" hidden="false" customHeight="true" outlineLevel="0" collapsed="false">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ustomFormat="false" ht="16.5" hidden="false" customHeight="true" outlineLevel="0" collapsed="false">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ustomFormat="false" ht="16.5" hidden="false" customHeight="true" outlineLevel="0" collapsed="false">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ustomFormat="false" ht="16.5" hidden="false" customHeight="true" outlineLevel="0" collapsed="false">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ustomFormat="false" ht="16.5" hidden="false" customHeight="true" outlineLevel="0" collapsed="false">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ustomFormat="false" ht="16.5" hidden="false" customHeight="true" outlineLevel="0" collapsed="false">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ustomFormat="false" ht="16.5" hidden="false" customHeight="true" outlineLevel="0" collapsed="false">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ustomFormat="false" ht="16.5" hidden="false" customHeight="true" outlineLevel="0" collapsed="false">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ustomFormat="false" ht="16.5" hidden="false" customHeight="true" outlineLevel="0" collapsed="false">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ustomFormat="false" ht="16.5" hidden="false" customHeight="true" outlineLevel="0" collapsed="false">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ustomFormat="false" ht="16.5" hidden="false" customHeight="true" outlineLevel="0" collapsed="false">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ustomFormat="false" ht="16.5" hidden="false" customHeight="true" outlineLevel="0" collapsed="false">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ustomFormat="false" ht="16.5" hidden="false" customHeight="true" outlineLevel="0" collapsed="false">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ustomFormat="false" ht="16.5" hidden="false" customHeight="true" outlineLevel="0" collapsed="false">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ustomFormat="false" ht="16.5" hidden="false" customHeight="true" outlineLevel="0" collapsed="false">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ustomFormat="false" ht="16.5" hidden="false" customHeight="true" outlineLevel="0" collapsed="false">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ustomFormat="false" ht="16.5" hidden="false" customHeight="true" outlineLevel="0" collapsed="false">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ustomFormat="false" ht="16.5" hidden="false" customHeight="true" outlineLevel="0" collapsed="false">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ustomFormat="false" ht="16.5" hidden="false" customHeight="true" outlineLevel="0" collapsed="false">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ustomFormat="false" ht="16.5" hidden="false" customHeight="true" outlineLevel="0" collapsed="false">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ustomFormat="false" ht="16.5" hidden="false" customHeight="true" outlineLevel="0" collapsed="false">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ustomFormat="false" ht="16.5" hidden="false" customHeight="true" outlineLevel="0" collapsed="false">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ustomFormat="false" ht="16.5" hidden="false" customHeight="true" outlineLevel="0" collapsed="false">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ustomFormat="false" ht="16.5" hidden="false" customHeight="true" outlineLevel="0" collapsed="false">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ustomFormat="false" ht="16.5" hidden="false" customHeight="true" outlineLevel="0" collapsed="false">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ustomFormat="false" ht="16.5" hidden="false" customHeight="true" outlineLevel="0" collapsed="false">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ustomFormat="false" ht="16.5" hidden="false" customHeight="true" outlineLevel="0" collapsed="false">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ustomFormat="false" ht="16.5" hidden="false" customHeight="true" outlineLevel="0" collapsed="false">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ustomFormat="false" ht="16.5" hidden="false" customHeight="true" outlineLevel="0" collapsed="false">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ustomFormat="false" ht="16.5" hidden="false" customHeight="true" outlineLevel="0" collapsed="false">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ustomFormat="false" ht="16.5" hidden="false" customHeight="true" outlineLevel="0" collapsed="false">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ustomFormat="false" ht="16.5" hidden="false" customHeight="true" outlineLevel="0" collapsed="false">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ustomFormat="false" ht="16.5" hidden="false" customHeight="true" outlineLevel="0" collapsed="false">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ustomFormat="false" ht="16.5" hidden="false" customHeight="true" outlineLevel="0" collapsed="false">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ustomFormat="false" ht="16.5" hidden="false" customHeight="true" outlineLevel="0" collapsed="false">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ustomFormat="false" ht="16.5" hidden="false" customHeight="true" outlineLevel="0" collapsed="false">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ustomFormat="false" ht="16.5" hidden="false" customHeight="true" outlineLevel="0" collapsed="false">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ustomFormat="false" ht="16.5" hidden="false" customHeight="true" outlineLevel="0" collapsed="false">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ustomFormat="false" ht="16.5" hidden="false" customHeight="true" outlineLevel="0" collapsed="false">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ustomFormat="false" ht="16.5" hidden="false" customHeight="true" outlineLevel="0" collapsed="false">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ustomFormat="false" ht="16.5" hidden="false" customHeight="true" outlineLevel="0" collapsed="false">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ustomFormat="false" ht="16.5" hidden="false" customHeight="true" outlineLevel="0" collapsed="false">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ustomFormat="false" ht="16.5" hidden="false" customHeight="true" outlineLevel="0" collapsed="false">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ustomFormat="false" ht="16.5" hidden="false" customHeight="true" outlineLevel="0" collapsed="false">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ustomFormat="false" ht="16.5" hidden="false" customHeight="true" outlineLevel="0" collapsed="false">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ustomFormat="false" ht="16.5" hidden="false" customHeight="true" outlineLevel="0" collapsed="false">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ustomFormat="false" ht="16.5" hidden="false" customHeight="true" outlineLevel="0" collapsed="false">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ustomFormat="false" ht="16.5" hidden="false" customHeight="true" outlineLevel="0" collapsed="false">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ustomFormat="false" ht="16.5" hidden="false" customHeight="true" outlineLevel="0" collapsed="false">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ustomFormat="false" ht="16.5" hidden="false" customHeight="true" outlineLevel="0" collapsed="false">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ustomFormat="false" ht="16.5" hidden="false" customHeight="true" outlineLevel="0" collapsed="false">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ustomFormat="false" ht="16.5" hidden="false" customHeight="true" outlineLevel="0" collapsed="false">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ustomFormat="false" ht="16.5" hidden="false" customHeight="true" outlineLevel="0" collapsed="false">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ustomFormat="false" ht="16.5" hidden="false" customHeight="true" outlineLevel="0" collapsed="false">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ustomFormat="false" ht="16.5" hidden="false" customHeight="true" outlineLevel="0" collapsed="false">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ustomFormat="false" ht="16.5" hidden="false" customHeight="true" outlineLevel="0" collapsed="false">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ustomFormat="false" ht="16.5" hidden="false" customHeight="true" outlineLevel="0" collapsed="false">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ustomFormat="false" ht="16.5" hidden="false" customHeight="true" outlineLevel="0" collapsed="false">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ustomFormat="false" ht="16.5" hidden="false" customHeight="true" outlineLevel="0" collapsed="false">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ustomFormat="false" ht="16.5" hidden="false" customHeight="true" outlineLevel="0" collapsed="false">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ustomFormat="false" ht="16.5" hidden="false" customHeight="true" outlineLevel="0" collapsed="false">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ustomFormat="false" ht="16.5" hidden="false" customHeight="true" outlineLevel="0" collapsed="false">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ustomFormat="false" ht="16.5" hidden="false" customHeight="true" outlineLevel="0" collapsed="false">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ustomFormat="false" ht="16.5" hidden="false" customHeight="true" outlineLevel="0" collapsed="false">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ustomFormat="false" ht="16.5" hidden="false" customHeight="true" outlineLevel="0" collapsed="false">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ustomFormat="false" ht="16.5" hidden="false" customHeight="true" outlineLevel="0" collapsed="false">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ustomFormat="false" ht="16.5" hidden="false" customHeight="true" outlineLevel="0" collapsed="false">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ustomFormat="false" ht="16.5" hidden="false" customHeight="true" outlineLevel="0" collapsed="false">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ustomFormat="false" ht="16.5" hidden="false" customHeight="true" outlineLevel="0" collapsed="false">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ustomFormat="false" ht="16.5" hidden="false" customHeight="true" outlineLevel="0" collapsed="false">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ustomFormat="false" ht="16.5" hidden="false" customHeight="true" outlineLevel="0" collapsed="false">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ustomFormat="false" ht="16.5" hidden="false" customHeight="true" outlineLevel="0" collapsed="false">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ustomFormat="false" ht="16.5" hidden="false" customHeight="true" outlineLevel="0" collapsed="false">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ustomFormat="false" ht="16.5" hidden="false" customHeight="true" outlineLevel="0" collapsed="false">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ustomFormat="false" ht="16.5" hidden="false" customHeight="true" outlineLevel="0" collapsed="false">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ustomFormat="false" ht="16.5" hidden="false" customHeight="true" outlineLevel="0" collapsed="false">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ustomFormat="false" ht="16.5" hidden="false" customHeight="true" outlineLevel="0" collapsed="false">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ustomFormat="false" ht="16.5" hidden="false" customHeight="true" outlineLevel="0" collapsed="false">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ustomFormat="false" ht="16.5" hidden="false" customHeight="true" outlineLevel="0" collapsed="false">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ustomFormat="false" ht="16.5" hidden="false" customHeight="true" outlineLevel="0" collapsed="false">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ustomFormat="false" ht="16.5" hidden="false" customHeight="true" outlineLevel="0" collapsed="false">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ustomFormat="false" ht="16.5" hidden="false" customHeight="true" outlineLevel="0" collapsed="false">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ustomFormat="false" ht="16.5" hidden="false" customHeight="true" outlineLevel="0" collapsed="false">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ustomFormat="false" ht="16.5" hidden="false" customHeight="true" outlineLevel="0" collapsed="false">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ustomFormat="false" ht="16.5" hidden="false" customHeight="true" outlineLevel="0" collapsed="false">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ustomFormat="false" ht="16.5" hidden="false" customHeight="true" outlineLevel="0" collapsed="false">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ustomFormat="false" ht="16.5" hidden="false" customHeight="true" outlineLevel="0" collapsed="false">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ustomFormat="false" ht="16.5" hidden="false" customHeight="true" outlineLevel="0" collapsed="false">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ustomFormat="false" ht="16.5" hidden="false" customHeight="true" outlineLevel="0" collapsed="false">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ustomFormat="false" ht="16.5" hidden="false" customHeight="true" outlineLevel="0" collapsed="false">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ustomFormat="false" ht="16.5" hidden="false" customHeight="true" outlineLevel="0" collapsed="false">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ustomFormat="false" ht="16.5" hidden="false" customHeight="true" outlineLevel="0" collapsed="false">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ustomFormat="false" ht="16.5" hidden="false" customHeight="true" outlineLevel="0" collapsed="false">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ustomFormat="false" ht="16.5" hidden="false" customHeight="true" outlineLevel="0" collapsed="false">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ustomFormat="false" ht="16.5" hidden="false" customHeight="true" outlineLevel="0" collapsed="false">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ustomFormat="false" ht="16.5" hidden="false" customHeight="true" outlineLevel="0" collapsed="false">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ustomFormat="false" ht="16.5" hidden="false" customHeight="true" outlineLevel="0" collapsed="false">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ustomFormat="false" ht="16.5" hidden="false" customHeight="true" outlineLevel="0" collapsed="false">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ustomFormat="false" ht="16.5" hidden="false" customHeight="true" outlineLevel="0" collapsed="false">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ustomFormat="false" ht="16.5" hidden="false" customHeight="true" outlineLevel="0" collapsed="false">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ustomFormat="false" ht="16.5" hidden="false" customHeight="true" outlineLevel="0" collapsed="false">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ustomFormat="false" ht="16.5" hidden="false" customHeight="true" outlineLevel="0" collapsed="false">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ustomFormat="false" ht="16.5" hidden="false" customHeight="true" outlineLevel="0" collapsed="false">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ustomFormat="false" ht="16.5" hidden="false" customHeight="true" outlineLevel="0" collapsed="false">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ustomFormat="false" ht="16.5" hidden="false" customHeight="true" outlineLevel="0" collapsed="false">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ustomFormat="false" ht="16.5" hidden="false" customHeight="true" outlineLevel="0" collapsed="false">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ustomFormat="false" ht="16.5" hidden="false" customHeight="true" outlineLevel="0" collapsed="false">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ustomFormat="false" ht="16.5" hidden="false" customHeight="true" outlineLevel="0" collapsed="false">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ustomFormat="false" ht="16.5" hidden="false" customHeight="true" outlineLevel="0" collapsed="false">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ustomFormat="false" ht="16.5" hidden="false" customHeight="true" outlineLevel="0" collapsed="false">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ustomFormat="false" ht="16.5" hidden="false" customHeight="true" outlineLevel="0" collapsed="false">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ustomFormat="false" ht="16.5" hidden="false" customHeight="true" outlineLevel="0" collapsed="false">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ustomFormat="false" ht="16.5" hidden="false" customHeight="true" outlineLevel="0" collapsed="false">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ustomFormat="false" ht="16.5" hidden="false" customHeight="true" outlineLevel="0" collapsed="false">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ustomFormat="false" ht="16.5" hidden="false" customHeight="true" outlineLevel="0" collapsed="false">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ustomFormat="false" ht="16.5" hidden="false" customHeight="true" outlineLevel="0" collapsed="false">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ustomFormat="false" ht="16.5" hidden="false" customHeight="true" outlineLevel="0" collapsed="false">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ustomFormat="false" ht="16.5" hidden="false" customHeight="true" outlineLevel="0" collapsed="false">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ustomFormat="false" ht="16.5" hidden="false" customHeight="true" outlineLevel="0" collapsed="false">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ustomFormat="false" ht="16.5" hidden="false" customHeight="true" outlineLevel="0" collapsed="false">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ustomFormat="false" ht="16.5" hidden="false" customHeight="true" outlineLevel="0" collapsed="false">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ustomFormat="false" ht="16.5" hidden="false" customHeight="true" outlineLevel="0" collapsed="false">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ustomFormat="false" ht="16.5" hidden="false" customHeight="true" outlineLevel="0" collapsed="false">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ustomFormat="false" ht="16.5" hidden="false" customHeight="true" outlineLevel="0" collapsed="false">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ustomFormat="false" ht="16.5" hidden="false" customHeight="true" outlineLevel="0" collapsed="false">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ustomFormat="false" ht="16.5" hidden="false" customHeight="true" outlineLevel="0" collapsed="false">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ustomFormat="false" ht="16.5" hidden="false" customHeight="true" outlineLevel="0" collapsed="false">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ustomFormat="false" ht="16.5" hidden="false" customHeight="true" outlineLevel="0" collapsed="false">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ustomFormat="false" ht="16.5" hidden="false" customHeight="true" outlineLevel="0" collapsed="false">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ustomFormat="false" ht="16.5" hidden="false" customHeight="true" outlineLevel="0" collapsed="false">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ustomFormat="false" ht="16.5" hidden="false" customHeight="true" outlineLevel="0" collapsed="false">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ustomFormat="false" ht="16.5" hidden="false" customHeight="true" outlineLevel="0" collapsed="false">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ustomFormat="false" ht="16.5" hidden="false" customHeight="true" outlineLevel="0" collapsed="false">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ustomFormat="false" ht="16.5" hidden="false" customHeight="true" outlineLevel="0" collapsed="false">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ustomFormat="false" ht="16.5" hidden="false" customHeight="true" outlineLevel="0" collapsed="false">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ustomFormat="false" ht="16.5" hidden="false" customHeight="true" outlineLevel="0" collapsed="false">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ustomFormat="false" ht="16.5" hidden="false" customHeight="true" outlineLevel="0" collapsed="false">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ustomFormat="false" ht="16.5" hidden="false" customHeight="true" outlineLevel="0" collapsed="false">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ustomFormat="false" ht="16.5" hidden="false" customHeight="true" outlineLevel="0" collapsed="false">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ustomFormat="false" ht="16.5" hidden="false" customHeight="true" outlineLevel="0" collapsed="false">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ustomFormat="false" ht="16.5" hidden="false" customHeight="true" outlineLevel="0" collapsed="false">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ustomFormat="false" ht="16.5" hidden="false" customHeight="true" outlineLevel="0" collapsed="false">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ustomFormat="false" ht="16.5" hidden="false" customHeight="true" outlineLevel="0" collapsed="false">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ustomFormat="false" ht="16.5" hidden="false" customHeight="true" outlineLevel="0" collapsed="false">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ustomFormat="false" ht="16.5" hidden="false" customHeight="true" outlineLevel="0" collapsed="false">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ustomFormat="false" ht="16.5" hidden="false" customHeight="true" outlineLevel="0" collapsed="false">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ustomFormat="false" ht="16.5" hidden="false" customHeight="true" outlineLevel="0" collapsed="false">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ustomFormat="false" ht="16.5" hidden="false" customHeight="true" outlineLevel="0" collapsed="false">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ustomFormat="false" ht="16.5" hidden="false" customHeight="true" outlineLevel="0" collapsed="false">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ustomFormat="false" ht="16.5" hidden="false" customHeight="true" outlineLevel="0" collapsed="false">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ustomFormat="false" ht="16.5" hidden="false" customHeight="true" outlineLevel="0" collapsed="false">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ustomFormat="false" ht="16.5" hidden="false" customHeight="true" outlineLevel="0" collapsed="false">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ustomFormat="false" ht="16.5" hidden="false" customHeight="true" outlineLevel="0" collapsed="false">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ustomFormat="false" ht="16.5" hidden="false" customHeight="true" outlineLevel="0" collapsed="false">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ustomFormat="false" ht="16.5" hidden="false" customHeight="true" outlineLevel="0" collapsed="false">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ustomFormat="false" ht="16.5" hidden="false" customHeight="true" outlineLevel="0" collapsed="false">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ustomFormat="false" ht="16.5" hidden="false" customHeight="true" outlineLevel="0" collapsed="false">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ustomFormat="false" ht="16.5" hidden="false" customHeight="true" outlineLevel="0" collapsed="false">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ustomFormat="false" ht="16.5" hidden="false" customHeight="true" outlineLevel="0" collapsed="false">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ustomFormat="false" ht="16.5" hidden="false" customHeight="true" outlineLevel="0" collapsed="false">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ustomFormat="false" ht="16.5" hidden="false" customHeight="true" outlineLevel="0" collapsed="false">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ustomFormat="false" ht="16.5" hidden="false" customHeight="true" outlineLevel="0" collapsed="false">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ustomFormat="false" ht="16.5" hidden="false" customHeight="true" outlineLevel="0" collapsed="false">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ustomFormat="false" ht="16.5" hidden="false" customHeight="true" outlineLevel="0" collapsed="false">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ustomFormat="false" ht="16.5" hidden="false" customHeight="true" outlineLevel="0" collapsed="false">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ustomFormat="false" ht="16.5" hidden="false" customHeight="true" outlineLevel="0" collapsed="false">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ustomFormat="false" ht="16.5" hidden="false" customHeight="true" outlineLevel="0" collapsed="false">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ustomFormat="false" ht="16.5" hidden="false" customHeight="true" outlineLevel="0" collapsed="false">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ustomFormat="false" ht="16.5" hidden="false" customHeight="true" outlineLevel="0" collapsed="false">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ustomFormat="false" ht="16.5" hidden="false" customHeight="true" outlineLevel="0" collapsed="false">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ustomFormat="false" ht="16.5" hidden="false" customHeight="true" outlineLevel="0" collapsed="false">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ustomFormat="false" ht="16.5" hidden="false" customHeight="true" outlineLevel="0" collapsed="false">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ustomFormat="false" ht="16.5" hidden="false" customHeight="true" outlineLevel="0" collapsed="false">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ustomFormat="false" ht="16.5" hidden="false" customHeight="true" outlineLevel="0" collapsed="false">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ustomFormat="false" ht="16.5" hidden="false" customHeight="true" outlineLevel="0" collapsed="false">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ustomFormat="false" ht="16.5" hidden="false" customHeight="true" outlineLevel="0" collapsed="false">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ustomFormat="false" ht="16.5" hidden="false" customHeight="true" outlineLevel="0" collapsed="false">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ustomFormat="false" ht="16.5" hidden="false" customHeight="true" outlineLevel="0" collapsed="false">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ustomFormat="false" ht="16.5" hidden="false" customHeight="true" outlineLevel="0" collapsed="false">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ustomFormat="false" ht="16.5" hidden="false" customHeight="true" outlineLevel="0" collapsed="false">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ustomFormat="false" ht="16.5" hidden="false" customHeight="true" outlineLevel="0" collapsed="false">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ustomFormat="false" ht="16.5" hidden="false" customHeight="true" outlineLevel="0" collapsed="false">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ustomFormat="false" ht="16.5" hidden="false" customHeight="true" outlineLevel="0" collapsed="false">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ustomFormat="false" ht="16.5" hidden="false" customHeight="true" outlineLevel="0" collapsed="false">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ustomFormat="false" ht="16.5" hidden="false" customHeight="true" outlineLevel="0" collapsed="false">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ustomFormat="false" ht="16.5" hidden="false" customHeight="true" outlineLevel="0" collapsed="false">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ustomFormat="false" ht="16.5" hidden="false" customHeight="true" outlineLevel="0" collapsed="false">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ustomFormat="false" ht="16.5" hidden="false" customHeight="true" outlineLevel="0" collapsed="false">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ustomFormat="false" ht="16.5" hidden="false" customHeight="true" outlineLevel="0" collapsed="false">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ustomFormat="false" ht="16.5" hidden="false" customHeight="true" outlineLevel="0" collapsed="false">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ustomFormat="false" ht="16.5" hidden="false" customHeight="true" outlineLevel="0" collapsed="false">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ustomFormat="false" ht="16.5" hidden="false" customHeight="true" outlineLevel="0" collapsed="false">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ustomFormat="false" ht="16.5" hidden="false" customHeight="true" outlineLevel="0" collapsed="false">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ustomFormat="false" ht="16.5" hidden="false" customHeight="true" outlineLevel="0" collapsed="false">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ustomFormat="false" ht="16.5" hidden="false" customHeight="true" outlineLevel="0" collapsed="false">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ustomFormat="false" ht="16.5" hidden="false" customHeight="true" outlineLevel="0" collapsed="false">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ustomFormat="false" ht="16.5" hidden="false" customHeight="true" outlineLevel="0" collapsed="false">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ustomFormat="false" ht="16.5" hidden="false" customHeight="true" outlineLevel="0" collapsed="false">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ustomFormat="false" ht="16.5" hidden="false" customHeight="true" outlineLevel="0" collapsed="false">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ustomFormat="false" ht="16.5" hidden="false" customHeight="true" outlineLevel="0" collapsed="false">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ustomFormat="false" ht="16.5" hidden="false" customHeight="true" outlineLevel="0" collapsed="false">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ustomFormat="false" ht="16.5" hidden="false" customHeight="true" outlineLevel="0" collapsed="false">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ustomFormat="false" ht="16.5" hidden="false" customHeight="true" outlineLevel="0" collapsed="false">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ustomFormat="false" ht="16.5" hidden="false" customHeight="true" outlineLevel="0" collapsed="false">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ustomFormat="false" ht="16.5" hidden="false" customHeight="true" outlineLevel="0" collapsed="false">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ustomFormat="false" ht="16.5" hidden="false" customHeight="true" outlineLevel="0" collapsed="false">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ustomFormat="false" ht="16.5" hidden="false" customHeight="true" outlineLevel="0" collapsed="false">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ustomFormat="false" ht="16.5" hidden="false" customHeight="true" outlineLevel="0" collapsed="false">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ustomFormat="false" ht="16.5" hidden="false" customHeight="true" outlineLevel="0" collapsed="false">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ustomFormat="false" ht="16.5" hidden="false" customHeight="true" outlineLevel="0" collapsed="false">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ustomFormat="false" ht="16.5" hidden="false" customHeight="true" outlineLevel="0" collapsed="false">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ustomFormat="false" ht="16.5" hidden="false" customHeight="true" outlineLevel="0" collapsed="false">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ustomFormat="false" ht="16.5" hidden="false" customHeight="true" outlineLevel="0" collapsed="false">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ustomFormat="false" ht="16.5" hidden="false" customHeight="true" outlineLevel="0" collapsed="false">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ustomFormat="false" ht="16.5" hidden="false" customHeight="true" outlineLevel="0" collapsed="false">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ustomFormat="false" ht="16.5" hidden="false" customHeight="true" outlineLevel="0" collapsed="false">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ustomFormat="false" ht="16.5" hidden="false" customHeight="true" outlineLevel="0" collapsed="false">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ustomFormat="false" ht="16.5" hidden="false" customHeight="true" outlineLevel="0" collapsed="false">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ustomFormat="false" ht="16.5" hidden="false" customHeight="true" outlineLevel="0" collapsed="false">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ustomFormat="false" ht="16.5" hidden="false" customHeight="true" outlineLevel="0" collapsed="false">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ustomFormat="false" ht="16.5" hidden="false" customHeight="true" outlineLevel="0" collapsed="false">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ustomFormat="false" ht="16.5" hidden="false" customHeight="true" outlineLevel="0" collapsed="false">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ustomFormat="false" ht="16.5" hidden="false" customHeight="true" outlineLevel="0" collapsed="false">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ustomFormat="false" ht="16.5" hidden="false" customHeight="true" outlineLevel="0" collapsed="false">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ustomFormat="false" ht="16.5" hidden="false" customHeight="true" outlineLevel="0" collapsed="false">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ustomFormat="false" ht="16.5" hidden="false" customHeight="true" outlineLevel="0" collapsed="false">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ustomFormat="false" ht="16.5" hidden="false" customHeight="true" outlineLevel="0" collapsed="false">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ustomFormat="false" ht="16.5" hidden="false" customHeight="true" outlineLevel="0" collapsed="false">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ustomFormat="false" ht="16.5" hidden="false" customHeight="true" outlineLevel="0" collapsed="false">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ustomFormat="false" ht="16.5" hidden="false" customHeight="true" outlineLevel="0" collapsed="false">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ustomFormat="false" ht="16.5" hidden="false" customHeight="true" outlineLevel="0" collapsed="false">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ustomFormat="false" ht="16.5" hidden="false" customHeight="true" outlineLevel="0" collapsed="false">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ustomFormat="false" ht="16.5" hidden="false" customHeight="true" outlineLevel="0" collapsed="false">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ustomFormat="false" ht="16.5" hidden="false" customHeight="true" outlineLevel="0" collapsed="false">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ustomFormat="false" ht="16.5" hidden="false" customHeight="true" outlineLevel="0" collapsed="false">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ustomFormat="false" ht="16.5" hidden="false" customHeight="true" outlineLevel="0" collapsed="false">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ustomFormat="false" ht="16.5" hidden="false" customHeight="true" outlineLevel="0" collapsed="false">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ustomFormat="false" ht="16.5" hidden="false" customHeight="true" outlineLevel="0" collapsed="false">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ustomFormat="false" ht="16.5" hidden="false" customHeight="true" outlineLevel="0" collapsed="false">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ustomFormat="false" ht="16.5" hidden="false" customHeight="true" outlineLevel="0" collapsed="false">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ustomFormat="false" ht="16.5" hidden="false" customHeight="true" outlineLevel="0" collapsed="false">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ustomFormat="false" ht="16.5" hidden="false" customHeight="true" outlineLevel="0" collapsed="false">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ustomFormat="false" ht="16.5" hidden="false" customHeight="true" outlineLevel="0" collapsed="false">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ustomFormat="false" ht="16.5" hidden="false" customHeight="true" outlineLevel="0" collapsed="false">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ustomFormat="false" ht="16.5" hidden="false" customHeight="true" outlineLevel="0" collapsed="false">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ustomFormat="false" ht="16.5" hidden="false" customHeight="true" outlineLevel="0" collapsed="false">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ustomFormat="false" ht="16.5" hidden="false" customHeight="true" outlineLevel="0" collapsed="false">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ustomFormat="false" ht="16.5" hidden="false" customHeight="true" outlineLevel="0" collapsed="false">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ustomFormat="false" ht="16.5" hidden="false" customHeight="true" outlineLevel="0" collapsed="false">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ustomFormat="false" ht="16.5" hidden="false" customHeight="true" outlineLevel="0" collapsed="false">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ustomFormat="false" ht="16.5" hidden="false" customHeight="true" outlineLevel="0" collapsed="false">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ustomFormat="false" ht="16.5" hidden="false" customHeight="true" outlineLevel="0" collapsed="false">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ustomFormat="false" ht="16.5" hidden="false" customHeight="true" outlineLevel="0" collapsed="false">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ustomFormat="false" ht="16.5" hidden="false" customHeight="true" outlineLevel="0" collapsed="false">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ustomFormat="false" ht="16.5" hidden="false" customHeight="true" outlineLevel="0" collapsed="false">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ustomFormat="false" ht="16.5" hidden="false" customHeight="true" outlineLevel="0" collapsed="false">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ustomFormat="false" ht="16.5" hidden="false" customHeight="true" outlineLevel="0" collapsed="false">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ustomFormat="false" ht="16.5" hidden="false" customHeight="true" outlineLevel="0" collapsed="false">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ustomFormat="false" ht="16.5" hidden="false" customHeight="true" outlineLevel="0" collapsed="false">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ustomFormat="false" ht="16.5" hidden="false" customHeight="true" outlineLevel="0" collapsed="false">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ustomFormat="false" ht="16.5" hidden="false" customHeight="true" outlineLevel="0" collapsed="false">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ustomFormat="false" ht="16.5" hidden="false" customHeight="true" outlineLevel="0" collapsed="false">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ustomFormat="false" ht="16.5" hidden="false" customHeight="true" outlineLevel="0" collapsed="false">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ustomFormat="false" ht="16.5" hidden="false" customHeight="true" outlineLevel="0" collapsed="false">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ustomFormat="false" ht="16.5" hidden="false" customHeight="true" outlineLevel="0" collapsed="false">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ustomFormat="false" ht="16.5" hidden="false" customHeight="true" outlineLevel="0" collapsed="false">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ustomFormat="false" ht="16.5" hidden="false" customHeight="true" outlineLevel="0" collapsed="false">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ustomFormat="false" ht="16.5" hidden="false" customHeight="true" outlineLevel="0" collapsed="false">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ustomFormat="false" ht="16.5" hidden="false" customHeight="true" outlineLevel="0" collapsed="false">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ustomFormat="false" ht="16.5" hidden="false" customHeight="true" outlineLevel="0" collapsed="false">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ustomFormat="false" ht="16.5" hidden="false" customHeight="true" outlineLevel="0" collapsed="false">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ustomFormat="false" ht="16.5" hidden="false" customHeight="true" outlineLevel="0" collapsed="false">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ustomFormat="false" ht="16.5" hidden="false" customHeight="true" outlineLevel="0" collapsed="false">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ustomFormat="false" ht="16.5" hidden="false" customHeight="true" outlineLevel="0" collapsed="false">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ustomFormat="false" ht="16.5" hidden="false" customHeight="true" outlineLevel="0" collapsed="false">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ustomFormat="false" ht="16.5" hidden="false" customHeight="true" outlineLevel="0" collapsed="false">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ustomFormat="false" ht="16.5" hidden="false" customHeight="true" outlineLevel="0" collapsed="false">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ustomFormat="false" ht="16.5" hidden="false" customHeight="true" outlineLevel="0" collapsed="false">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ustomFormat="false" ht="16.5" hidden="false" customHeight="true" outlineLevel="0" collapsed="false">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ustomFormat="false" ht="16.5" hidden="false" customHeight="true" outlineLevel="0" collapsed="false">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ustomFormat="false" ht="16.5" hidden="false" customHeight="true" outlineLevel="0" collapsed="false">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ustomFormat="false" ht="16.5" hidden="false" customHeight="true" outlineLevel="0" collapsed="false">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ustomFormat="false" ht="16.5" hidden="false" customHeight="true" outlineLevel="0" collapsed="false">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ustomFormat="false" ht="16.5" hidden="false" customHeight="true" outlineLevel="0" collapsed="false">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ustomFormat="false" ht="16.5" hidden="false" customHeight="true" outlineLevel="0" collapsed="false">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ustomFormat="false" ht="16.5" hidden="false" customHeight="true" outlineLevel="0" collapsed="false">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ustomFormat="false" ht="16.5" hidden="false" customHeight="true" outlineLevel="0" collapsed="false">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ustomFormat="false" ht="16.5" hidden="false" customHeight="true" outlineLevel="0" collapsed="false">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ustomFormat="false" ht="16.5" hidden="false" customHeight="true" outlineLevel="0" collapsed="false">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ustomFormat="false" ht="16.5" hidden="false" customHeight="true" outlineLevel="0" collapsed="false">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ustomFormat="false" ht="16.5" hidden="false" customHeight="true" outlineLevel="0" collapsed="false">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ustomFormat="false" ht="16.5" hidden="false" customHeight="true" outlineLevel="0" collapsed="false">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ustomFormat="false" ht="16.5" hidden="false" customHeight="true" outlineLevel="0" collapsed="false">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ustomFormat="false" ht="16.5" hidden="false" customHeight="true" outlineLevel="0" collapsed="false">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ustomFormat="false" ht="16.5" hidden="false" customHeight="true" outlineLevel="0" collapsed="false">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ustomFormat="false" ht="16.5" hidden="false" customHeight="true" outlineLevel="0" collapsed="false">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ustomFormat="false" ht="16.5" hidden="false" customHeight="true" outlineLevel="0" collapsed="false">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ustomFormat="false" ht="16.5" hidden="false" customHeight="true" outlineLevel="0" collapsed="false">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ustomFormat="false" ht="16.5" hidden="false" customHeight="true" outlineLevel="0" collapsed="false">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ustomFormat="false" ht="16.5" hidden="false" customHeight="true" outlineLevel="0" collapsed="false">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ustomFormat="false" ht="16.5" hidden="false" customHeight="true" outlineLevel="0" collapsed="false">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ustomFormat="false" ht="16.5" hidden="false" customHeight="true" outlineLevel="0" collapsed="false">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ustomFormat="false" ht="16.5" hidden="false" customHeight="true" outlineLevel="0" collapsed="false">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ustomFormat="false" ht="16.5" hidden="false" customHeight="true" outlineLevel="0" collapsed="false">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ustomFormat="false" ht="16.5" hidden="false" customHeight="true" outlineLevel="0" collapsed="false">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ustomFormat="false" ht="16.5" hidden="false" customHeight="true" outlineLevel="0" collapsed="false">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ustomFormat="false" ht="16.5" hidden="false" customHeight="true" outlineLevel="0" collapsed="false">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ustomFormat="false" ht="16.5" hidden="false" customHeight="true" outlineLevel="0" collapsed="false">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ustomFormat="false" ht="16.5" hidden="false" customHeight="true" outlineLevel="0" collapsed="false">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ustomFormat="false" ht="16.5" hidden="false" customHeight="true" outlineLevel="0" collapsed="false">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ustomFormat="false" ht="16.5" hidden="false" customHeight="true" outlineLevel="0" collapsed="false">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ustomFormat="false" ht="16.5" hidden="false" customHeight="true" outlineLevel="0" collapsed="false">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ustomFormat="false" ht="16.5" hidden="false" customHeight="true" outlineLevel="0" collapsed="false">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ustomFormat="false" ht="16.5" hidden="false" customHeight="true" outlineLevel="0" collapsed="false">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ustomFormat="false" ht="16.5" hidden="false" customHeight="true" outlineLevel="0" collapsed="false">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ustomFormat="false" ht="16.5" hidden="false" customHeight="true" outlineLevel="0" collapsed="false">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ustomFormat="false" ht="16.5" hidden="false" customHeight="true" outlineLevel="0" collapsed="false">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ustomFormat="false" ht="16.5" hidden="false" customHeight="true" outlineLevel="0" collapsed="false">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ustomFormat="false" ht="16.5" hidden="false" customHeight="true" outlineLevel="0" collapsed="false">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ustomFormat="false" ht="16.5" hidden="false" customHeight="true" outlineLevel="0" collapsed="false">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ustomFormat="false" ht="16.5" hidden="false" customHeight="true" outlineLevel="0" collapsed="false">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ustomFormat="false" ht="16.5" hidden="false" customHeight="true" outlineLevel="0" collapsed="false">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ustomFormat="false" ht="16.5" hidden="false" customHeight="true" outlineLevel="0" collapsed="false">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ustomFormat="false" ht="16.5" hidden="false" customHeight="true" outlineLevel="0" collapsed="false">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ustomFormat="false" ht="16.5" hidden="false" customHeight="true" outlineLevel="0" collapsed="false">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ustomFormat="false" ht="16.5" hidden="false" customHeight="true" outlineLevel="0" collapsed="false">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ustomFormat="false" ht="16.5" hidden="false" customHeight="true" outlineLevel="0" collapsed="false">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ustomFormat="false" ht="16.5" hidden="false" customHeight="true" outlineLevel="0" collapsed="false">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ustomFormat="false" ht="16.5" hidden="false" customHeight="true" outlineLevel="0" collapsed="false">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ustomFormat="false" ht="16.5" hidden="false" customHeight="true" outlineLevel="0" collapsed="false">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ustomFormat="false" ht="16.5" hidden="false" customHeight="true" outlineLevel="0" collapsed="false">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ustomFormat="false" ht="16.5" hidden="false" customHeight="true" outlineLevel="0" collapsed="false">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ustomFormat="false" ht="16.5" hidden="false" customHeight="true" outlineLevel="0" collapsed="false">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ustomFormat="false" ht="16.5" hidden="false" customHeight="true" outlineLevel="0" collapsed="false">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ustomFormat="false" ht="16.5" hidden="false" customHeight="true" outlineLevel="0" collapsed="false">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ustomFormat="false" ht="16.5" hidden="false" customHeight="true" outlineLevel="0" collapsed="false">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ustomFormat="false" ht="16.5" hidden="false" customHeight="true" outlineLevel="0" collapsed="false">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ustomFormat="false" ht="16.5" hidden="false" customHeight="true" outlineLevel="0" collapsed="false">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ustomFormat="false" ht="16.5" hidden="false" customHeight="true" outlineLevel="0" collapsed="false">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ustomFormat="false" ht="16.5" hidden="false" customHeight="true" outlineLevel="0" collapsed="false">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ustomFormat="false" ht="16.5" hidden="false" customHeight="true" outlineLevel="0" collapsed="false">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ustomFormat="false" ht="16.5" hidden="false" customHeight="true" outlineLevel="0" collapsed="false">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ustomFormat="false" ht="16.5" hidden="false" customHeight="true" outlineLevel="0" collapsed="false">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ustomFormat="false" ht="16.5" hidden="false" customHeight="true" outlineLevel="0" collapsed="false">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ustomFormat="false" ht="16.5" hidden="false" customHeight="true" outlineLevel="0" collapsed="false">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ustomFormat="false" ht="16.5" hidden="false" customHeight="true" outlineLevel="0" collapsed="false">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ustomFormat="false" ht="16.5" hidden="false" customHeight="true" outlineLevel="0" collapsed="false">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ustomFormat="false" ht="16.5" hidden="false" customHeight="true" outlineLevel="0" collapsed="false">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ustomFormat="false" ht="16.5" hidden="false" customHeight="true" outlineLevel="0" collapsed="false">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ustomFormat="false" ht="16.5" hidden="false" customHeight="true" outlineLevel="0" collapsed="false">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ustomFormat="false" ht="16.5" hidden="false" customHeight="true" outlineLevel="0" collapsed="false">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ustomFormat="false" ht="16.5" hidden="false" customHeight="true" outlineLevel="0" collapsed="false">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ustomFormat="false" ht="16.5" hidden="false" customHeight="true" outlineLevel="0" collapsed="false">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ustomFormat="false" ht="16.5" hidden="false" customHeight="true" outlineLevel="0" collapsed="false">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ustomFormat="false" ht="16.5" hidden="false" customHeight="true" outlineLevel="0" collapsed="false">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ustomFormat="false" ht="16.5" hidden="false" customHeight="true" outlineLevel="0" collapsed="false">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ustomFormat="false" ht="16.5" hidden="false" customHeight="true" outlineLevel="0" collapsed="false">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ustomFormat="false" ht="16.5" hidden="false" customHeight="true" outlineLevel="0" collapsed="false">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ustomFormat="false" ht="16.5" hidden="false" customHeight="true" outlineLevel="0" collapsed="false">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ustomFormat="false" ht="16.5" hidden="false" customHeight="true" outlineLevel="0" collapsed="false">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ustomFormat="false" ht="16.5" hidden="false" customHeight="true" outlineLevel="0" collapsed="false">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ustomFormat="false" ht="16.5" hidden="false" customHeight="true" outlineLevel="0" collapsed="false">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ustomFormat="false" ht="16.5" hidden="false" customHeight="true" outlineLevel="0" collapsed="false">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ustomFormat="false" ht="16.5" hidden="false" customHeight="true" outlineLevel="0" collapsed="false">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ustomFormat="false" ht="16.5" hidden="false" customHeight="true" outlineLevel="0" collapsed="false">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ustomFormat="false" ht="16.5" hidden="false" customHeight="true" outlineLevel="0" collapsed="false">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ustomFormat="false" ht="16.5" hidden="false" customHeight="true" outlineLevel="0" collapsed="false">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ustomFormat="false" ht="16.5" hidden="false" customHeight="true" outlineLevel="0" collapsed="false">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ustomFormat="false" ht="16.5" hidden="false" customHeight="true" outlineLevel="0" collapsed="false">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customFormat="false" ht="16.5" hidden="false" customHeight="true" outlineLevel="0" collapsed="false">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row r="1002" customFormat="false" ht="16.5" hidden="false" customHeight="true" outlineLevel="0" collapsed="false">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row>
    <row r="1003" customFormat="false" ht="16.5" hidden="false" customHeight="true" outlineLevel="0" collapsed="false">
      <c r="A1003" s="45"/>
      <c r="B1003" s="45"/>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row>
    <row r="1004" customFormat="false" ht="16.5" hidden="false" customHeight="true" outlineLevel="0" collapsed="false">
      <c r="A1004" s="45"/>
      <c r="B1004" s="45"/>
      <c r="C1004" s="45"/>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row>
    <row r="1005" customFormat="false" ht="16.5" hidden="false" customHeight="true" outlineLevel="0" collapsed="false">
      <c r="A1005" s="45"/>
      <c r="B1005" s="45"/>
      <c r="C1005" s="45"/>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row>
    <row r="1006" customFormat="false" ht="16.5" hidden="false" customHeight="true" outlineLevel="0" collapsed="false">
      <c r="A1006" s="45"/>
      <c r="B1006" s="45"/>
      <c r="C1006" s="45"/>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c r="Z1006" s="45"/>
    </row>
    <row r="1007" customFormat="false" ht="16.5" hidden="false" customHeight="true" outlineLevel="0" collapsed="false">
      <c r="A1007" s="45"/>
      <c r="B1007" s="45"/>
      <c r="C1007" s="45"/>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c r="Z1007" s="45"/>
    </row>
    <row r="1008" customFormat="false" ht="16.5" hidden="false" customHeight="true" outlineLevel="0" collapsed="false">
      <c r="A1008" s="45"/>
      <c r="B1008" s="45"/>
      <c r="C1008" s="45"/>
      <c r="D1008" s="45"/>
      <c r="E1008" s="45"/>
      <c r="F1008" s="45"/>
      <c r="G1008" s="45"/>
      <c r="H1008" s="45"/>
      <c r="I1008" s="45"/>
      <c r="J1008" s="45"/>
      <c r="K1008" s="45"/>
      <c r="L1008" s="45"/>
      <c r="M1008" s="45"/>
      <c r="N1008" s="45"/>
      <c r="O1008" s="45"/>
      <c r="P1008" s="45"/>
      <c r="Q1008" s="45"/>
      <c r="R1008" s="45"/>
      <c r="S1008" s="45"/>
      <c r="T1008" s="45"/>
      <c r="U1008" s="45"/>
      <c r="V1008" s="45"/>
      <c r="W1008" s="45"/>
      <c r="X1008" s="45"/>
      <c r="Y1008" s="45"/>
      <c r="Z1008" s="45"/>
    </row>
    <row r="1009" customFormat="false" ht="16.5" hidden="false" customHeight="true" outlineLevel="0" collapsed="false">
      <c r="A1009" s="45"/>
      <c r="B1009" s="45"/>
      <c r="C1009" s="45"/>
      <c r="D1009" s="45"/>
      <c r="E1009" s="45"/>
      <c r="F1009" s="45"/>
      <c r="G1009" s="45"/>
      <c r="H1009" s="45"/>
      <c r="I1009" s="45"/>
      <c r="J1009" s="45"/>
      <c r="K1009" s="45"/>
      <c r="L1009" s="45"/>
      <c r="M1009" s="45"/>
      <c r="N1009" s="45"/>
      <c r="O1009" s="45"/>
      <c r="P1009" s="45"/>
      <c r="Q1009" s="45"/>
      <c r="R1009" s="45"/>
      <c r="S1009" s="45"/>
      <c r="T1009" s="45"/>
      <c r="U1009" s="45"/>
      <c r="V1009" s="45"/>
      <c r="W1009" s="45"/>
      <c r="X1009" s="45"/>
      <c r="Y1009" s="45"/>
      <c r="Z1009" s="45"/>
    </row>
    <row r="1010" customFormat="false" ht="16.5" hidden="false" customHeight="true" outlineLevel="0" collapsed="false">
      <c r="A1010" s="45"/>
      <c r="B1010" s="45"/>
      <c r="C1010" s="45"/>
      <c r="D1010" s="45"/>
      <c r="E1010" s="45"/>
      <c r="F1010" s="45"/>
      <c r="G1010" s="45"/>
      <c r="H1010" s="45"/>
      <c r="I1010" s="45"/>
      <c r="J1010" s="45"/>
      <c r="K1010" s="45"/>
      <c r="L1010" s="45"/>
      <c r="M1010" s="45"/>
      <c r="N1010" s="45"/>
      <c r="O1010" s="45"/>
      <c r="P1010" s="45"/>
      <c r="Q1010" s="45"/>
      <c r="R1010" s="45"/>
      <c r="S1010" s="45"/>
      <c r="T1010" s="45"/>
      <c r="U1010" s="45"/>
      <c r="V1010" s="45"/>
      <c r="W1010" s="45"/>
      <c r="X1010" s="45"/>
      <c r="Y1010" s="45"/>
      <c r="Z1010" s="45"/>
    </row>
    <row r="1011" customFormat="false" ht="16.5" hidden="false" customHeight="true" outlineLevel="0" collapsed="false">
      <c r="A1011" s="45"/>
      <c r="B1011" s="45"/>
      <c r="C1011" s="45"/>
      <c r="D1011" s="45"/>
      <c r="E1011" s="45"/>
      <c r="F1011" s="45"/>
      <c r="G1011" s="45"/>
      <c r="H1011" s="45"/>
      <c r="I1011" s="45"/>
      <c r="J1011" s="45"/>
      <c r="K1011" s="45"/>
      <c r="L1011" s="45"/>
      <c r="M1011" s="45"/>
      <c r="N1011" s="45"/>
      <c r="O1011" s="45"/>
      <c r="P1011" s="45"/>
      <c r="Q1011" s="45"/>
      <c r="R1011" s="45"/>
      <c r="S1011" s="45"/>
      <c r="T1011" s="45"/>
      <c r="U1011" s="45"/>
      <c r="V1011" s="45"/>
      <c r="W1011" s="45"/>
      <c r="X1011" s="45"/>
      <c r="Y1011" s="45"/>
      <c r="Z1011" s="45"/>
    </row>
    <row r="1012" customFormat="false" ht="16.5" hidden="false" customHeight="true" outlineLevel="0" collapsed="false">
      <c r="A1012" s="45"/>
      <c r="B1012" s="45"/>
      <c r="C1012" s="45"/>
      <c r="D1012" s="45"/>
      <c r="E1012" s="45"/>
      <c r="F1012" s="45"/>
      <c r="G1012" s="45"/>
      <c r="H1012" s="45"/>
      <c r="I1012" s="45"/>
      <c r="J1012" s="45"/>
      <c r="K1012" s="45"/>
      <c r="L1012" s="45"/>
      <c r="M1012" s="45"/>
      <c r="N1012" s="45"/>
      <c r="O1012" s="45"/>
      <c r="P1012" s="45"/>
      <c r="Q1012" s="45"/>
      <c r="R1012" s="45"/>
      <c r="S1012" s="45"/>
      <c r="T1012" s="45"/>
      <c r="U1012" s="45"/>
      <c r="V1012" s="45"/>
      <c r="W1012" s="45"/>
      <c r="X1012" s="45"/>
      <c r="Y1012" s="45"/>
      <c r="Z1012" s="45"/>
    </row>
  </sheetData>
  <mergeCells count="23">
    <mergeCell ref="A1:J1"/>
    <mergeCell ref="A2:J2"/>
    <mergeCell ref="F3:J3"/>
    <mergeCell ref="B4:D4"/>
    <mergeCell ref="F4:J4"/>
    <mergeCell ref="A5:A6"/>
    <mergeCell ref="B5:B6"/>
    <mergeCell ref="C5:C6"/>
    <mergeCell ref="D5:D6"/>
    <mergeCell ref="E5:E6"/>
    <mergeCell ref="F5:F6"/>
    <mergeCell ref="G5:H6"/>
    <mergeCell ref="I5:J5"/>
    <mergeCell ref="G7:H7"/>
    <mergeCell ref="G8:H8"/>
    <mergeCell ref="G15:H15"/>
    <mergeCell ref="G16:H16"/>
    <mergeCell ref="G17:H17"/>
    <mergeCell ref="G18:H18"/>
    <mergeCell ref="G19:H19"/>
    <mergeCell ref="G20:H20"/>
    <mergeCell ref="A27:B27"/>
    <mergeCell ref="G27:H27"/>
  </mergeCells>
  <hyperlinks>
    <hyperlink ref="A43" r:id="rId2" display="https://cbic-gst.gov.in/gst-goods-services-rates.html"/>
  </hyperlinks>
  <printOptions headings="false" gridLines="false" gridLinesSet="true" horizontalCentered="false" verticalCentered="false"/>
  <pageMargins left="0.340277777777778" right="0.170138888888889" top="0.340277777777778" bottom="0.25" header="0.511811023622047" footer="0.511811023622047"/>
  <pageSetup paperSize="1" scale="7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9.14"/>
    <col collapsed="false" customWidth="true" hidden="false" outlineLevel="0" max="3" min="2" style="1" width="11.43"/>
    <col collapsed="false" customWidth="true" hidden="false" outlineLevel="0" max="5" min="4" style="1" width="9.14"/>
    <col collapsed="false" customWidth="true" hidden="false" outlineLevel="0" max="6" min="6" style="1" width="10.14"/>
    <col collapsed="false" customWidth="true" hidden="false" outlineLevel="0" max="7" min="7" style="1" width="10.43"/>
    <col collapsed="false" customWidth="true" hidden="false" outlineLevel="0" max="8" min="8" style="1" width="11.43"/>
    <col collapsed="false" customWidth="true" hidden="false" outlineLevel="0" max="9" min="9" style="1" width="12.86"/>
    <col collapsed="false" customWidth="true" hidden="false" outlineLevel="0" max="26" min="10" style="1" width="9.14"/>
  </cols>
  <sheetData>
    <row r="1" customFormat="false" ht="16.5" hidden="false" customHeight="true" outlineLevel="0" collapsed="false">
      <c r="A1" s="163" t="s">
        <v>264</v>
      </c>
      <c r="B1" s="163"/>
      <c r="C1" s="163"/>
      <c r="D1" s="163"/>
      <c r="E1" s="163"/>
      <c r="F1" s="163"/>
      <c r="G1" s="163"/>
      <c r="H1" s="163"/>
      <c r="I1" s="163"/>
      <c r="J1" s="7"/>
      <c r="K1" s="7"/>
      <c r="L1" s="7"/>
      <c r="M1" s="7"/>
      <c r="N1" s="7"/>
      <c r="O1" s="7"/>
      <c r="P1" s="7"/>
      <c r="Q1" s="7"/>
      <c r="R1" s="7"/>
      <c r="S1" s="7"/>
      <c r="T1" s="7"/>
      <c r="U1" s="7"/>
      <c r="V1" s="7"/>
      <c r="W1" s="7"/>
      <c r="X1" s="7"/>
      <c r="Y1" s="7"/>
      <c r="Z1" s="7"/>
    </row>
    <row r="2" customFormat="false" ht="16.5" hidden="false" customHeight="true" outlineLevel="0" collapsed="false">
      <c r="A2" s="163" t="s">
        <v>265</v>
      </c>
      <c r="B2" s="163"/>
      <c r="C2" s="163"/>
      <c r="D2" s="163"/>
      <c r="E2" s="163"/>
      <c r="F2" s="163"/>
      <c r="G2" s="163"/>
      <c r="H2" s="163"/>
      <c r="I2" s="163"/>
      <c r="J2" s="7"/>
      <c r="K2" s="7"/>
      <c r="L2" s="7"/>
      <c r="M2" s="7"/>
      <c r="N2" s="7"/>
      <c r="O2" s="7"/>
      <c r="P2" s="7"/>
      <c r="Q2" s="7"/>
      <c r="R2" s="7"/>
      <c r="S2" s="7"/>
      <c r="T2" s="7"/>
      <c r="U2" s="7"/>
      <c r="V2" s="7"/>
      <c r="W2" s="7"/>
      <c r="X2" s="7"/>
      <c r="Y2" s="7"/>
      <c r="Z2" s="7"/>
    </row>
    <row r="3" customFormat="false" ht="21.75" hidden="false" customHeight="true" outlineLevel="0" collapsed="false">
      <c r="A3" s="164" t="s">
        <v>266</v>
      </c>
      <c r="B3" s="165"/>
      <c r="C3" s="165"/>
      <c r="D3" s="165"/>
      <c r="E3" s="165"/>
      <c r="F3" s="166" t="s">
        <v>267</v>
      </c>
      <c r="G3" s="166"/>
      <c r="H3" s="166"/>
      <c r="I3" s="166"/>
      <c r="J3" s="7"/>
      <c r="K3" s="7"/>
      <c r="L3" s="7"/>
      <c r="M3" s="7"/>
      <c r="N3" s="7"/>
      <c r="O3" s="7"/>
      <c r="P3" s="7"/>
      <c r="Q3" s="7"/>
      <c r="R3" s="7"/>
      <c r="S3" s="7"/>
      <c r="T3" s="7"/>
      <c r="U3" s="7"/>
      <c r="V3" s="7"/>
      <c r="W3" s="7"/>
      <c r="X3" s="7"/>
      <c r="Y3" s="7"/>
      <c r="Z3" s="7"/>
    </row>
    <row r="4" customFormat="false" ht="33.75" hidden="false" customHeight="true" outlineLevel="0" collapsed="false">
      <c r="A4" s="61" t="s">
        <v>268</v>
      </c>
      <c r="B4" s="61" t="s">
        <v>269</v>
      </c>
      <c r="C4" s="61" t="s">
        <v>270</v>
      </c>
      <c r="D4" s="61" t="s">
        <v>271</v>
      </c>
      <c r="E4" s="61"/>
      <c r="F4" s="61"/>
      <c r="G4" s="61" t="s">
        <v>272</v>
      </c>
      <c r="H4" s="61" t="s">
        <v>273</v>
      </c>
      <c r="I4" s="61" t="s">
        <v>274</v>
      </c>
      <c r="J4" s="43"/>
      <c r="K4" s="43"/>
      <c r="L4" s="43"/>
      <c r="M4" s="43"/>
      <c r="N4" s="43"/>
      <c r="O4" s="43"/>
      <c r="P4" s="43"/>
      <c r="Q4" s="43"/>
      <c r="R4" s="43"/>
      <c r="S4" s="43"/>
      <c r="T4" s="43"/>
      <c r="U4" s="43"/>
      <c r="V4" s="43"/>
      <c r="W4" s="43"/>
      <c r="X4" s="43"/>
      <c r="Y4" s="43"/>
      <c r="Z4" s="43"/>
    </row>
    <row r="5" customFormat="false" ht="16.5" hidden="false" customHeight="true" outlineLevel="0" collapsed="false">
      <c r="A5" s="61"/>
      <c r="B5" s="61"/>
      <c r="C5" s="61"/>
      <c r="D5" s="61" t="s">
        <v>275</v>
      </c>
      <c r="E5" s="61" t="s">
        <v>276</v>
      </c>
      <c r="F5" s="61" t="s">
        <v>277</v>
      </c>
      <c r="G5" s="61"/>
      <c r="H5" s="61"/>
      <c r="I5" s="61"/>
      <c r="J5" s="43"/>
      <c r="K5" s="43"/>
      <c r="L5" s="43"/>
      <c r="M5" s="43"/>
      <c r="N5" s="43"/>
      <c r="O5" s="43"/>
      <c r="P5" s="43"/>
      <c r="Q5" s="43"/>
      <c r="R5" s="43"/>
      <c r="S5" s="43"/>
      <c r="T5" s="43"/>
      <c r="U5" s="43"/>
      <c r="V5" s="43"/>
      <c r="W5" s="43"/>
      <c r="X5" s="43"/>
      <c r="Y5" s="43"/>
      <c r="Z5" s="43"/>
    </row>
    <row r="6" customFormat="false" ht="16.5" hidden="false" customHeight="true" outlineLevel="0" collapsed="false">
      <c r="A6" s="165"/>
      <c r="B6" s="165"/>
      <c r="C6" s="165"/>
      <c r="D6" s="165"/>
      <c r="E6" s="165"/>
      <c r="F6" s="165"/>
      <c r="G6" s="165"/>
      <c r="H6" s="165"/>
      <c r="I6" s="165"/>
      <c r="J6" s="7"/>
      <c r="K6" s="7"/>
      <c r="L6" s="7"/>
      <c r="M6" s="7"/>
      <c r="N6" s="7"/>
      <c r="O6" s="7"/>
      <c r="P6" s="7"/>
      <c r="Q6" s="7"/>
      <c r="R6" s="7"/>
      <c r="S6" s="7"/>
      <c r="T6" s="7"/>
      <c r="U6" s="7"/>
      <c r="V6" s="7"/>
      <c r="W6" s="7"/>
      <c r="X6" s="7"/>
      <c r="Y6" s="7"/>
      <c r="Z6" s="7"/>
    </row>
    <row r="7" customFormat="false" ht="16.5" hidden="false" customHeight="true" outlineLevel="0" collapsed="false">
      <c r="A7" s="165"/>
      <c r="B7" s="165"/>
      <c r="C7" s="165"/>
      <c r="D7" s="165"/>
      <c r="E7" s="165"/>
      <c r="F7" s="165"/>
      <c r="G7" s="165"/>
      <c r="H7" s="165"/>
      <c r="I7" s="165"/>
      <c r="J7" s="7"/>
      <c r="K7" s="7"/>
      <c r="L7" s="7"/>
      <c r="M7" s="7"/>
      <c r="N7" s="7"/>
      <c r="O7" s="7"/>
      <c r="P7" s="7"/>
      <c r="Q7" s="7"/>
      <c r="R7" s="7"/>
      <c r="S7" s="7"/>
      <c r="T7" s="7"/>
      <c r="U7" s="7"/>
      <c r="V7" s="7"/>
      <c r="W7" s="7"/>
      <c r="X7" s="7"/>
      <c r="Y7" s="7"/>
      <c r="Z7" s="7"/>
    </row>
    <row r="8" customFormat="false" ht="16.5" hidden="false" customHeight="true" outlineLevel="0" collapsed="false">
      <c r="A8" s="165"/>
      <c r="B8" s="165"/>
      <c r="C8" s="165"/>
      <c r="D8" s="165"/>
      <c r="E8" s="165"/>
      <c r="F8" s="165"/>
      <c r="G8" s="165"/>
      <c r="H8" s="165"/>
      <c r="I8" s="165"/>
      <c r="J8" s="7"/>
      <c r="K8" s="7"/>
      <c r="L8" s="7"/>
      <c r="M8" s="7"/>
      <c r="N8" s="7"/>
      <c r="O8" s="7"/>
      <c r="P8" s="7"/>
      <c r="Q8" s="7"/>
      <c r="R8" s="7"/>
      <c r="S8" s="7"/>
      <c r="T8" s="7"/>
      <c r="U8" s="7"/>
      <c r="V8" s="7"/>
      <c r="W8" s="7"/>
      <c r="X8" s="7"/>
      <c r="Y8" s="7"/>
      <c r="Z8" s="7"/>
    </row>
    <row r="9" customFormat="false" ht="16.5" hidden="false" customHeight="true" outlineLevel="0" collapsed="false">
      <c r="A9" s="165"/>
      <c r="B9" s="165"/>
      <c r="C9" s="165"/>
      <c r="D9" s="165"/>
      <c r="E9" s="165"/>
      <c r="F9" s="165"/>
      <c r="G9" s="165"/>
      <c r="H9" s="165"/>
      <c r="I9" s="165"/>
      <c r="J9" s="7"/>
      <c r="K9" s="7"/>
      <c r="L9" s="7"/>
      <c r="M9" s="7"/>
      <c r="N9" s="7"/>
      <c r="O9" s="7"/>
      <c r="P9" s="7"/>
      <c r="Q9" s="7"/>
      <c r="R9" s="7"/>
      <c r="S9" s="7"/>
      <c r="T9" s="7"/>
      <c r="U9" s="7"/>
      <c r="V9" s="7"/>
      <c r="W9" s="7"/>
      <c r="X9" s="7"/>
      <c r="Y9" s="7"/>
      <c r="Z9" s="7"/>
    </row>
    <row r="10" customFormat="false" ht="16.5" hidden="false" customHeight="true" outlineLevel="0" collapsed="false">
      <c r="A10" s="165"/>
      <c r="B10" s="165"/>
      <c r="C10" s="165"/>
      <c r="D10" s="165"/>
      <c r="E10" s="165"/>
      <c r="F10" s="165"/>
      <c r="G10" s="165"/>
      <c r="H10" s="165"/>
      <c r="I10" s="165"/>
      <c r="J10" s="7"/>
      <c r="K10" s="7"/>
      <c r="L10" s="7"/>
      <c r="M10" s="7"/>
      <c r="N10" s="7"/>
      <c r="O10" s="7"/>
      <c r="P10" s="7"/>
      <c r="Q10" s="7"/>
      <c r="R10" s="7"/>
      <c r="S10" s="7"/>
      <c r="T10" s="7"/>
      <c r="U10" s="7"/>
      <c r="V10" s="7"/>
      <c r="W10" s="7"/>
      <c r="X10" s="7"/>
      <c r="Y10" s="7"/>
      <c r="Z10" s="7"/>
    </row>
    <row r="11" customFormat="false" ht="16.5" hidden="false" customHeight="true" outlineLevel="0" collapsed="false">
      <c r="A11" s="165"/>
      <c r="B11" s="165"/>
      <c r="C11" s="165"/>
      <c r="D11" s="165"/>
      <c r="E11" s="165"/>
      <c r="F11" s="165"/>
      <c r="G11" s="165"/>
      <c r="H11" s="165"/>
      <c r="I11" s="165"/>
      <c r="J11" s="7"/>
      <c r="K11" s="7"/>
      <c r="L11" s="7"/>
      <c r="M11" s="7"/>
      <c r="N11" s="7"/>
      <c r="O11" s="7"/>
      <c r="P11" s="7"/>
      <c r="Q11" s="7"/>
      <c r="R11" s="7"/>
      <c r="S11" s="7"/>
      <c r="T11" s="7"/>
      <c r="U11" s="7"/>
      <c r="V11" s="7"/>
      <c r="W11" s="7"/>
      <c r="X11" s="7"/>
      <c r="Y11" s="7"/>
      <c r="Z11" s="7"/>
    </row>
    <row r="12" customFormat="false" ht="16.5" hidden="false" customHeight="true" outlineLevel="0" collapsed="false">
      <c r="A12" s="165"/>
      <c r="B12" s="165"/>
      <c r="C12" s="165"/>
      <c r="D12" s="165"/>
      <c r="E12" s="165"/>
      <c r="F12" s="165"/>
      <c r="G12" s="165"/>
      <c r="H12" s="165"/>
      <c r="I12" s="165"/>
      <c r="J12" s="7"/>
      <c r="K12" s="7"/>
      <c r="L12" s="7"/>
      <c r="M12" s="7"/>
      <c r="N12" s="7"/>
      <c r="O12" s="7"/>
      <c r="P12" s="7"/>
      <c r="Q12" s="7"/>
      <c r="R12" s="7"/>
      <c r="S12" s="7"/>
      <c r="T12" s="7"/>
      <c r="U12" s="7"/>
      <c r="V12" s="7"/>
      <c r="W12" s="7"/>
      <c r="X12" s="7"/>
      <c r="Y12" s="7"/>
      <c r="Z12" s="7"/>
    </row>
    <row r="13" customFormat="false" ht="16.5" hidden="false" customHeight="true" outlineLevel="0" collapsed="false">
      <c r="A13" s="165"/>
      <c r="B13" s="165"/>
      <c r="C13" s="165"/>
      <c r="D13" s="165"/>
      <c r="E13" s="165"/>
      <c r="F13" s="165"/>
      <c r="G13" s="165"/>
      <c r="H13" s="165"/>
      <c r="I13" s="165"/>
      <c r="J13" s="7"/>
      <c r="K13" s="7"/>
      <c r="L13" s="7"/>
      <c r="M13" s="7"/>
      <c r="N13" s="7"/>
      <c r="O13" s="7"/>
      <c r="P13" s="7"/>
      <c r="Q13" s="7"/>
      <c r="R13" s="7"/>
      <c r="S13" s="7"/>
      <c r="T13" s="7"/>
      <c r="U13" s="7"/>
      <c r="V13" s="7"/>
      <c r="W13" s="7"/>
      <c r="X13" s="7"/>
      <c r="Y13" s="7"/>
      <c r="Z13" s="7"/>
    </row>
    <row r="14" customFormat="false" ht="16.5" hidden="false" customHeight="true" outlineLevel="0" collapsed="false">
      <c r="A14" s="165"/>
      <c r="B14" s="165"/>
      <c r="C14" s="165"/>
      <c r="D14" s="165"/>
      <c r="E14" s="165"/>
      <c r="F14" s="165"/>
      <c r="G14" s="165"/>
      <c r="H14" s="165"/>
      <c r="I14" s="165"/>
      <c r="J14" s="7"/>
      <c r="K14" s="7"/>
      <c r="L14" s="7"/>
      <c r="M14" s="7"/>
      <c r="N14" s="7"/>
      <c r="O14" s="7"/>
      <c r="P14" s="7"/>
      <c r="Q14" s="7"/>
      <c r="R14" s="7"/>
      <c r="S14" s="7"/>
      <c r="T14" s="7"/>
      <c r="U14" s="7"/>
      <c r="V14" s="7"/>
      <c r="W14" s="7"/>
      <c r="X14" s="7"/>
      <c r="Y14" s="7"/>
      <c r="Z14" s="7"/>
    </row>
    <row r="15" customFormat="false" ht="16.5" hidden="false" customHeight="true" outlineLevel="0" collapsed="false">
      <c r="A15" s="165"/>
      <c r="B15" s="165"/>
      <c r="C15" s="165"/>
      <c r="D15" s="165"/>
      <c r="E15" s="165"/>
      <c r="F15" s="165"/>
      <c r="G15" s="165"/>
      <c r="H15" s="165"/>
      <c r="I15" s="165"/>
      <c r="J15" s="7"/>
      <c r="K15" s="7"/>
      <c r="L15" s="7"/>
      <c r="M15" s="7"/>
      <c r="N15" s="7"/>
      <c r="O15" s="7"/>
      <c r="P15" s="7"/>
      <c r="Q15" s="7"/>
      <c r="R15" s="7"/>
      <c r="S15" s="7"/>
      <c r="T15" s="7"/>
      <c r="U15" s="7"/>
      <c r="V15" s="7"/>
      <c r="W15" s="7"/>
      <c r="X15" s="7"/>
      <c r="Y15" s="7"/>
      <c r="Z15" s="7"/>
    </row>
    <row r="16" customFormat="false" ht="16.5" hidden="false" customHeight="true" outlineLevel="0" collapsed="false">
      <c r="A16" s="165"/>
      <c r="B16" s="165"/>
      <c r="C16" s="165"/>
      <c r="D16" s="165"/>
      <c r="E16" s="165"/>
      <c r="F16" s="165"/>
      <c r="G16" s="165"/>
      <c r="H16" s="165"/>
      <c r="I16" s="165"/>
      <c r="J16" s="7"/>
      <c r="K16" s="7"/>
      <c r="L16" s="7"/>
      <c r="M16" s="7"/>
      <c r="N16" s="7"/>
      <c r="O16" s="7"/>
      <c r="P16" s="7"/>
      <c r="Q16" s="7"/>
      <c r="R16" s="7"/>
      <c r="S16" s="7"/>
      <c r="T16" s="7"/>
      <c r="U16" s="7"/>
      <c r="V16" s="7"/>
      <c r="W16" s="7"/>
      <c r="X16" s="7"/>
      <c r="Y16" s="7"/>
      <c r="Z16" s="7"/>
    </row>
    <row r="17" customFormat="false" ht="16.5" hidden="false" customHeight="true" outlineLevel="0" collapsed="false">
      <c r="A17" s="165"/>
      <c r="B17" s="165"/>
      <c r="C17" s="165"/>
      <c r="D17" s="165"/>
      <c r="E17" s="165"/>
      <c r="F17" s="165"/>
      <c r="G17" s="165"/>
      <c r="H17" s="165"/>
      <c r="I17" s="165"/>
      <c r="J17" s="7"/>
      <c r="K17" s="7"/>
      <c r="L17" s="7"/>
      <c r="M17" s="7"/>
      <c r="N17" s="7"/>
      <c r="O17" s="7"/>
      <c r="P17" s="7"/>
      <c r="Q17" s="7"/>
      <c r="R17" s="7"/>
      <c r="S17" s="7"/>
      <c r="T17" s="7"/>
      <c r="U17" s="7"/>
      <c r="V17" s="7"/>
      <c r="W17" s="7"/>
      <c r="X17" s="7"/>
      <c r="Y17" s="7"/>
      <c r="Z17" s="7"/>
    </row>
    <row r="18" customFormat="false" ht="16.5" hidden="false" customHeight="true" outlineLevel="0" collapsed="false">
      <c r="A18" s="165"/>
      <c r="B18" s="165"/>
      <c r="C18" s="165"/>
      <c r="D18" s="165"/>
      <c r="E18" s="165"/>
      <c r="F18" s="165"/>
      <c r="G18" s="165"/>
      <c r="H18" s="165"/>
      <c r="I18" s="165"/>
      <c r="J18" s="7"/>
      <c r="K18" s="7"/>
      <c r="L18" s="7"/>
      <c r="M18" s="7"/>
      <c r="N18" s="7"/>
      <c r="O18" s="7"/>
      <c r="P18" s="7"/>
      <c r="Q18" s="7"/>
      <c r="R18" s="7"/>
      <c r="S18" s="7"/>
      <c r="T18" s="7"/>
      <c r="U18" s="7"/>
      <c r="V18" s="7"/>
      <c r="W18" s="7"/>
      <c r="X18" s="7"/>
      <c r="Y18" s="7"/>
      <c r="Z18" s="7"/>
    </row>
    <row r="19" customFormat="false" ht="16.5" hidden="false" customHeight="true" outlineLevel="0" collapsed="false">
      <c r="A19" s="165"/>
      <c r="B19" s="165"/>
      <c r="C19" s="165"/>
      <c r="D19" s="165"/>
      <c r="E19" s="165"/>
      <c r="F19" s="165"/>
      <c r="G19" s="165"/>
      <c r="H19" s="165"/>
      <c r="I19" s="165"/>
      <c r="J19" s="7"/>
      <c r="K19" s="7"/>
      <c r="L19" s="7"/>
      <c r="M19" s="7"/>
      <c r="N19" s="7"/>
      <c r="O19" s="7"/>
      <c r="P19" s="7"/>
      <c r="Q19" s="7"/>
      <c r="R19" s="7"/>
      <c r="S19" s="7"/>
      <c r="T19" s="7"/>
      <c r="U19" s="7"/>
      <c r="V19" s="7"/>
      <c r="W19" s="7"/>
      <c r="X19" s="7"/>
      <c r="Y19" s="7"/>
      <c r="Z19" s="7"/>
    </row>
    <row r="20" customFormat="false" ht="16.5" hidden="false" customHeight="true" outlineLevel="0" collapsed="false">
      <c r="A20" s="164"/>
      <c r="B20" s="164"/>
      <c r="C20" s="164" t="s">
        <v>278</v>
      </c>
      <c r="D20" s="164"/>
      <c r="E20" s="164" t="s">
        <v>279</v>
      </c>
      <c r="F20" s="164"/>
      <c r="G20" s="164"/>
      <c r="H20" s="164"/>
      <c r="I20" s="164"/>
      <c r="J20" s="43"/>
      <c r="K20" s="43"/>
      <c r="L20" s="43"/>
      <c r="M20" s="43"/>
      <c r="N20" s="43"/>
      <c r="O20" s="43"/>
      <c r="P20" s="43"/>
      <c r="Q20" s="43"/>
      <c r="R20" s="43"/>
      <c r="S20" s="43"/>
      <c r="T20" s="43"/>
      <c r="U20" s="43"/>
      <c r="V20" s="43"/>
      <c r="W20" s="43"/>
      <c r="X20" s="43"/>
      <c r="Y20" s="43"/>
      <c r="Z20" s="43"/>
    </row>
    <row r="21" customFormat="false" ht="16.5" hidden="false" customHeight="true" outlineLevel="0" collapsed="false">
      <c r="A21" s="164" t="s">
        <v>280</v>
      </c>
      <c r="B21" s="164"/>
      <c r="C21" s="164"/>
      <c r="D21" s="164"/>
      <c r="E21" s="164"/>
      <c r="F21" s="164"/>
      <c r="G21" s="164"/>
      <c r="H21" s="164"/>
      <c r="I21" s="164"/>
      <c r="J21" s="43"/>
      <c r="K21" s="43"/>
      <c r="L21" s="43"/>
      <c r="M21" s="43"/>
      <c r="N21" s="43"/>
      <c r="O21" s="43"/>
      <c r="P21" s="43"/>
      <c r="Q21" s="43"/>
      <c r="R21" s="43"/>
      <c r="S21" s="43"/>
      <c r="T21" s="43"/>
      <c r="U21" s="43"/>
      <c r="V21" s="43"/>
      <c r="W21" s="43"/>
      <c r="X21" s="43"/>
      <c r="Y21" s="43"/>
      <c r="Z21" s="43"/>
    </row>
    <row r="22" customFormat="false" ht="16.5" hidden="false" customHeight="true" outlineLevel="0" collapsed="false">
      <c r="A22" s="43" t="s">
        <v>21</v>
      </c>
      <c r="B22" s="7"/>
      <c r="C22" s="7"/>
      <c r="D22" s="7"/>
      <c r="E22" s="7"/>
      <c r="F22" s="7"/>
      <c r="G22" s="7"/>
      <c r="H22" s="7"/>
      <c r="I22" s="7"/>
      <c r="J22" s="7"/>
      <c r="K22" s="7"/>
      <c r="L22" s="7"/>
      <c r="M22" s="7"/>
      <c r="N22" s="7"/>
      <c r="O22" s="7"/>
      <c r="P22" s="7"/>
      <c r="Q22" s="7"/>
      <c r="R22" s="7"/>
      <c r="S22" s="7"/>
      <c r="T22" s="7"/>
      <c r="U22" s="7"/>
      <c r="V22" s="7"/>
      <c r="W22" s="7"/>
      <c r="X22" s="7"/>
      <c r="Y22" s="7"/>
      <c r="Z22" s="7"/>
    </row>
    <row r="23" customFormat="false" ht="16.5" hidden="false" customHeight="true" outlineLevel="0" collapsed="false">
      <c r="A23" s="7"/>
      <c r="B23" s="167" t="s">
        <v>281</v>
      </c>
      <c r="C23" s="7"/>
      <c r="D23" s="7"/>
      <c r="E23" s="7"/>
      <c r="F23" s="7"/>
      <c r="G23" s="7"/>
      <c r="H23" s="7"/>
      <c r="I23" s="7"/>
      <c r="J23" s="7"/>
      <c r="K23" s="7"/>
      <c r="L23" s="7"/>
      <c r="M23" s="7"/>
      <c r="N23" s="7"/>
      <c r="O23" s="7"/>
      <c r="P23" s="7"/>
      <c r="Q23" s="7"/>
      <c r="R23" s="7"/>
      <c r="S23" s="7"/>
      <c r="T23" s="7"/>
      <c r="U23" s="7"/>
      <c r="V23" s="7"/>
      <c r="W23" s="7"/>
      <c r="X23" s="7"/>
      <c r="Y23" s="7"/>
      <c r="Z23" s="7"/>
    </row>
    <row r="24" customFormat="false" ht="16.5" hidden="false" customHeight="true" outlineLevel="0" collapsed="false">
      <c r="A24" s="7"/>
      <c r="B24" s="167" t="s">
        <v>282</v>
      </c>
      <c r="C24" s="7"/>
      <c r="D24" s="7"/>
      <c r="E24" s="7"/>
      <c r="F24" s="7"/>
      <c r="G24" s="7"/>
      <c r="H24" s="7"/>
      <c r="I24" s="7"/>
      <c r="J24" s="7"/>
      <c r="K24" s="7"/>
      <c r="L24" s="7"/>
      <c r="M24" s="7"/>
      <c r="N24" s="7"/>
      <c r="O24" s="7"/>
      <c r="P24" s="7"/>
      <c r="Q24" s="7"/>
      <c r="R24" s="7"/>
      <c r="S24" s="7"/>
      <c r="T24" s="7"/>
      <c r="U24" s="7"/>
      <c r="V24" s="7"/>
      <c r="W24" s="7"/>
      <c r="X24" s="7"/>
      <c r="Y24" s="7"/>
      <c r="Z24" s="7"/>
    </row>
    <row r="25" customFormat="false" ht="16.5" hidden="false" customHeight="true" outlineLevel="0" collapsed="false">
      <c r="A25" s="7"/>
      <c r="B25" s="168" t="s">
        <v>283</v>
      </c>
      <c r="C25" s="7"/>
      <c r="D25" s="7"/>
      <c r="E25" s="7"/>
      <c r="F25" s="7"/>
      <c r="G25" s="7"/>
      <c r="H25" s="7"/>
      <c r="I25" s="7"/>
      <c r="J25" s="7"/>
      <c r="K25" s="7"/>
      <c r="L25" s="7"/>
      <c r="M25" s="7"/>
      <c r="N25" s="7"/>
      <c r="O25" s="7"/>
      <c r="P25" s="7"/>
      <c r="Q25" s="7"/>
      <c r="R25" s="7"/>
      <c r="S25" s="7"/>
      <c r="T25" s="7"/>
      <c r="U25" s="7"/>
      <c r="V25" s="7"/>
      <c r="W25" s="7"/>
      <c r="X25" s="7"/>
      <c r="Y25" s="7"/>
      <c r="Z25" s="7"/>
    </row>
    <row r="26" customFormat="false" ht="11.25" hidden="false" customHeight="true" outlineLevel="0" collapsed="false">
      <c r="A26" s="7"/>
      <c r="B26" s="7"/>
      <c r="C26" s="7"/>
      <c r="D26" s="7"/>
      <c r="E26" s="7"/>
      <c r="F26" s="7"/>
      <c r="G26" s="7"/>
      <c r="H26" s="7"/>
      <c r="I26" s="7"/>
      <c r="J26" s="7"/>
      <c r="K26" s="7"/>
      <c r="L26" s="7"/>
      <c r="M26" s="7"/>
      <c r="N26" s="7"/>
      <c r="O26" s="7"/>
      <c r="P26" s="7"/>
      <c r="Q26" s="7"/>
      <c r="R26" s="7"/>
      <c r="S26" s="7"/>
      <c r="T26" s="7"/>
      <c r="U26" s="7"/>
      <c r="V26" s="7"/>
      <c r="W26" s="7"/>
      <c r="X26" s="7"/>
      <c r="Y26" s="7"/>
      <c r="Z26" s="7"/>
    </row>
    <row r="27" customFormat="false" ht="16.5" hidden="false" customHeight="true" outlineLevel="0" collapsed="false">
      <c r="A27" s="61" t="s">
        <v>284</v>
      </c>
      <c r="B27" s="61"/>
      <c r="C27" s="61" t="s">
        <v>285</v>
      </c>
      <c r="D27" s="61"/>
      <c r="E27" s="61"/>
      <c r="F27" s="61" t="s">
        <v>286</v>
      </c>
      <c r="G27" s="61"/>
      <c r="H27" s="61"/>
      <c r="I27" s="7"/>
      <c r="J27" s="7"/>
      <c r="K27" s="7"/>
      <c r="L27" s="7"/>
      <c r="M27" s="7"/>
      <c r="N27" s="7"/>
      <c r="O27" s="7"/>
      <c r="P27" s="7"/>
      <c r="Q27" s="7"/>
      <c r="R27" s="7"/>
      <c r="S27" s="7"/>
      <c r="T27" s="7"/>
      <c r="U27" s="7"/>
      <c r="V27" s="7"/>
      <c r="W27" s="7"/>
      <c r="X27" s="7"/>
      <c r="Y27" s="7"/>
      <c r="Z27" s="7"/>
    </row>
    <row r="28" customFormat="false" ht="16.5" hidden="false" customHeight="true" outlineLevel="0" collapsed="false">
      <c r="A28" s="61"/>
      <c r="B28" s="61"/>
      <c r="C28" s="61" t="s">
        <v>287</v>
      </c>
      <c r="D28" s="61" t="s">
        <v>288</v>
      </c>
      <c r="E28" s="61" t="s">
        <v>289</v>
      </c>
      <c r="F28" s="61" t="s">
        <v>290</v>
      </c>
      <c r="G28" s="61" t="s">
        <v>291</v>
      </c>
      <c r="H28" s="61" t="s">
        <v>292</v>
      </c>
      <c r="I28" s="7"/>
      <c r="J28" s="7"/>
      <c r="K28" s="7"/>
      <c r="L28" s="7"/>
      <c r="M28" s="7"/>
      <c r="N28" s="7"/>
      <c r="O28" s="7"/>
      <c r="P28" s="7"/>
      <c r="Q28" s="7"/>
      <c r="R28" s="7"/>
      <c r="S28" s="7"/>
      <c r="T28" s="7"/>
      <c r="U28" s="7"/>
      <c r="V28" s="7"/>
      <c r="W28" s="7"/>
      <c r="X28" s="7"/>
      <c r="Y28" s="7"/>
      <c r="Z28" s="7"/>
    </row>
    <row r="29" customFormat="false" ht="19.5" hidden="false" customHeight="true" outlineLevel="0" collapsed="false">
      <c r="A29" s="169" t="s">
        <v>293</v>
      </c>
      <c r="B29" s="169"/>
      <c r="C29" s="165"/>
      <c r="D29" s="165"/>
      <c r="E29" s="165"/>
      <c r="F29" s="165"/>
      <c r="G29" s="165"/>
      <c r="H29" s="165"/>
      <c r="I29" s="7"/>
      <c r="J29" s="7"/>
      <c r="K29" s="7"/>
      <c r="L29" s="7"/>
      <c r="M29" s="7"/>
      <c r="N29" s="7"/>
      <c r="O29" s="7"/>
      <c r="P29" s="7"/>
      <c r="Q29" s="7"/>
      <c r="R29" s="7"/>
      <c r="S29" s="7"/>
      <c r="T29" s="7"/>
      <c r="U29" s="7"/>
      <c r="V29" s="7"/>
      <c r="W29" s="7"/>
      <c r="X29" s="7"/>
      <c r="Y29" s="7"/>
      <c r="Z29" s="7"/>
    </row>
    <row r="30" customFormat="false" ht="19.5" hidden="false" customHeight="true" outlineLevel="0" collapsed="false">
      <c r="A30" s="169" t="s">
        <v>294</v>
      </c>
      <c r="B30" s="169"/>
      <c r="C30" s="165"/>
      <c r="D30" s="165"/>
      <c r="E30" s="165"/>
      <c r="F30" s="165"/>
      <c r="G30" s="165"/>
      <c r="H30" s="165"/>
      <c r="I30" s="7"/>
      <c r="J30" s="7"/>
      <c r="K30" s="7"/>
      <c r="L30" s="7"/>
      <c r="M30" s="7"/>
      <c r="N30" s="7"/>
      <c r="O30" s="7"/>
      <c r="P30" s="7"/>
      <c r="Q30" s="7"/>
      <c r="R30" s="7"/>
      <c r="S30" s="7"/>
      <c r="T30" s="7"/>
      <c r="U30" s="7"/>
      <c r="V30" s="7"/>
      <c r="W30" s="7"/>
      <c r="X30" s="7"/>
      <c r="Y30" s="7"/>
      <c r="Z30" s="7"/>
    </row>
    <row r="31" customFormat="false" ht="19.5" hidden="false" customHeight="true" outlineLevel="0" collapsed="false">
      <c r="A31" s="169" t="s">
        <v>295</v>
      </c>
      <c r="B31" s="169"/>
      <c r="C31" s="165"/>
      <c r="D31" s="165"/>
      <c r="E31" s="165"/>
      <c r="F31" s="165"/>
      <c r="G31" s="165"/>
      <c r="H31" s="165"/>
      <c r="I31" s="7"/>
      <c r="J31" s="7"/>
      <c r="K31" s="7"/>
      <c r="L31" s="7"/>
      <c r="M31" s="7"/>
      <c r="N31" s="7"/>
      <c r="O31" s="7"/>
      <c r="P31" s="7"/>
      <c r="Q31" s="7"/>
      <c r="R31" s="7"/>
      <c r="S31" s="7"/>
      <c r="T31" s="7"/>
      <c r="U31" s="7"/>
      <c r="V31" s="7"/>
      <c r="W31" s="7"/>
      <c r="X31" s="7"/>
      <c r="Y31" s="7"/>
      <c r="Z31" s="7"/>
    </row>
    <row r="32" customFormat="false" ht="19.5" hidden="false" customHeight="true" outlineLevel="0" collapsed="false">
      <c r="A32" s="169" t="s">
        <v>296</v>
      </c>
      <c r="B32" s="169"/>
      <c r="C32" s="165"/>
      <c r="D32" s="165"/>
      <c r="E32" s="165"/>
      <c r="F32" s="165"/>
      <c r="G32" s="165"/>
      <c r="H32" s="165"/>
      <c r="I32" s="7"/>
      <c r="J32" s="7"/>
      <c r="K32" s="7"/>
      <c r="L32" s="7"/>
      <c r="M32" s="7"/>
      <c r="N32" s="7"/>
      <c r="O32" s="7"/>
      <c r="P32" s="7"/>
      <c r="Q32" s="7"/>
      <c r="R32" s="7"/>
      <c r="S32" s="7"/>
      <c r="T32" s="7"/>
      <c r="U32" s="7"/>
      <c r="V32" s="7"/>
      <c r="W32" s="7"/>
      <c r="X32" s="7"/>
      <c r="Y32" s="7"/>
      <c r="Z32" s="7"/>
    </row>
    <row r="33" customFormat="false" ht="16.5" hidden="false" customHeight="true" outlineLevel="0" collapsed="false">
      <c r="A33" s="7" t="s">
        <v>297</v>
      </c>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16.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16.5" hidden="false" customHeight="true" outlineLevel="0" collapsed="false">
      <c r="A35" s="170" t="s">
        <v>298</v>
      </c>
      <c r="B35" s="171"/>
      <c r="C35" s="171"/>
      <c r="D35" s="171"/>
      <c r="E35" s="171"/>
      <c r="F35" s="171"/>
      <c r="G35" s="171"/>
      <c r="H35" s="171"/>
      <c r="I35" s="172"/>
      <c r="J35" s="7"/>
      <c r="K35" s="7"/>
      <c r="L35" s="7"/>
      <c r="M35" s="7"/>
      <c r="N35" s="7"/>
      <c r="O35" s="7"/>
      <c r="P35" s="7"/>
      <c r="Q35" s="7"/>
      <c r="R35" s="7"/>
      <c r="S35" s="7"/>
      <c r="T35" s="7"/>
      <c r="U35" s="7"/>
      <c r="V35" s="7"/>
      <c r="W35" s="7"/>
      <c r="X35" s="7"/>
      <c r="Y35" s="7"/>
      <c r="Z35" s="7"/>
    </row>
    <row r="36" customFormat="false" ht="16.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16.5" hidden="false" customHeight="true" outlineLevel="0" collapsed="false">
      <c r="A37" s="55" t="s">
        <v>299</v>
      </c>
      <c r="B37" s="55"/>
      <c r="C37" s="55"/>
      <c r="D37" s="55"/>
      <c r="E37" s="55"/>
      <c r="F37" s="55"/>
      <c r="G37" s="55"/>
      <c r="H37" s="55"/>
      <c r="I37" s="55"/>
      <c r="J37" s="7"/>
      <c r="K37" s="7"/>
      <c r="L37" s="7"/>
      <c r="M37" s="7"/>
      <c r="N37" s="7"/>
      <c r="O37" s="7"/>
      <c r="P37" s="7"/>
      <c r="Q37" s="7"/>
      <c r="R37" s="7"/>
      <c r="S37" s="7"/>
      <c r="T37" s="7"/>
      <c r="U37" s="7"/>
      <c r="V37" s="7"/>
      <c r="W37" s="7"/>
      <c r="X37" s="7"/>
      <c r="Y37" s="7"/>
      <c r="Z37" s="7"/>
    </row>
    <row r="38" customFormat="false" ht="16.5" hidden="false" customHeight="true" outlineLevel="0" collapsed="false">
      <c r="A38" s="55"/>
      <c r="B38" s="55"/>
      <c r="C38" s="55"/>
      <c r="D38" s="55"/>
      <c r="E38" s="55"/>
      <c r="F38" s="55"/>
      <c r="G38" s="55"/>
      <c r="H38" s="55"/>
      <c r="I38" s="55"/>
      <c r="J38" s="7"/>
      <c r="K38" s="7"/>
      <c r="L38" s="7"/>
      <c r="M38" s="7"/>
      <c r="N38" s="7"/>
      <c r="O38" s="7"/>
      <c r="P38" s="7"/>
      <c r="Q38" s="7"/>
      <c r="R38" s="7"/>
      <c r="S38" s="7"/>
      <c r="T38" s="7"/>
      <c r="U38" s="7"/>
      <c r="V38" s="7"/>
      <c r="W38" s="7"/>
      <c r="X38" s="7"/>
      <c r="Y38" s="7"/>
      <c r="Z38" s="7"/>
    </row>
    <row r="39" customFormat="false" ht="23.25" hidden="false" customHeight="true" outlineLevel="0" collapsed="false">
      <c r="A39" s="166" t="s">
        <v>300</v>
      </c>
      <c r="B39" s="166"/>
      <c r="C39" s="166"/>
      <c r="D39" s="166"/>
      <c r="E39" s="166"/>
      <c r="F39" s="166"/>
      <c r="G39" s="166"/>
      <c r="H39" s="166"/>
      <c r="I39" s="166"/>
      <c r="J39" s="7"/>
      <c r="K39" s="7"/>
      <c r="L39" s="7"/>
      <c r="M39" s="7"/>
      <c r="N39" s="7"/>
      <c r="O39" s="7"/>
      <c r="P39" s="7"/>
      <c r="Q39" s="7"/>
      <c r="R39" s="7"/>
      <c r="S39" s="7"/>
      <c r="T39" s="7"/>
      <c r="U39" s="7"/>
      <c r="V39" s="7"/>
      <c r="W39" s="7"/>
      <c r="X39" s="7"/>
      <c r="Y39" s="7"/>
      <c r="Z39" s="7"/>
    </row>
    <row r="40" customFormat="false" ht="16.5" hidden="false" customHeight="true" outlineLevel="0" collapsed="false">
      <c r="A40" s="55" t="s">
        <v>301</v>
      </c>
      <c r="B40" s="55"/>
      <c r="C40" s="55"/>
      <c r="D40" s="55"/>
      <c r="E40" s="55"/>
      <c r="F40" s="55"/>
      <c r="G40" s="55"/>
      <c r="H40" s="55"/>
      <c r="I40" s="55"/>
      <c r="J40" s="7"/>
      <c r="K40" s="7"/>
      <c r="L40" s="7"/>
      <c r="M40" s="7"/>
      <c r="N40" s="7"/>
      <c r="O40" s="7"/>
      <c r="P40" s="7"/>
      <c r="Q40" s="7"/>
      <c r="R40" s="7"/>
      <c r="S40" s="7"/>
      <c r="T40" s="7"/>
      <c r="U40" s="7"/>
      <c r="V40" s="7"/>
      <c r="W40" s="7"/>
      <c r="X40" s="7"/>
      <c r="Y40" s="7"/>
      <c r="Z40" s="7"/>
    </row>
    <row r="41" customFormat="false" ht="16.5" hidden="false" customHeight="true" outlineLevel="0" collapsed="false">
      <c r="A41" s="55"/>
      <c r="B41" s="55"/>
      <c r="C41" s="55"/>
      <c r="D41" s="55"/>
      <c r="E41" s="55"/>
      <c r="F41" s="55"/>
      <c r="G41" s="55"/>
      <c r="H41" s="55"/>
      <c r="I41" s="55"/>
      <c r="J41" s="7"/>
      <c r="K41" s="7"/>
      <c r="L41" s="7"/>
      <c r="M41" s="7"/>
      <c r="N41" s="7"/>
      <c r="O41" s="7"/>
      <c r="P41" s="7"/>
      <c r="Q41" s="7"/>
      <c r="R41" s="7"/>
      <c r="S41" s="7"/>
      <c r="T41" s="7"/>
      <c r="U41" s="7"/>
      <c r="V41" s="7"/>
      <c r="W41" s="7"/>
      <c r="X41" s="7"/>
      <c r="Y41" s="7"/>
      <c r="Z41" s="7"/>
    </row>
    <row r="42" customFormat="false" ht="23.25" hidden="false" customHeight="true" outlineLevel="0" collapsed="false">
      <c r="A42" s="166" t="s">
        <v>302</v>
      </c>
      <c r="B42" s="166"/>
      <c r="C42" s="166"/>
      <c r="D42" s="166"/>
      <c r="E42" s="166"/>
      <c r="F42" s="166"/>
      <c r="G42" s="166"/>
      <c r="H42" s="166"/>
      <c r="I42" s="166"/>
      <c r="J42" s="7"/>
      <c r="K42" s="7"/>
      <c r="L42" s="7"/>
      <c r="M42" s="7"/>
      <c r="N42" s="7"/>
      <c r="O42" s="7"/>
      <c r="P42" s="7"/>
      <c r="Q42" s="7"/>
      <c r="R42" s="7"/>
      <c r="S42" s="7"/>
      <c r="T42" s="7"/>
      <c r="U42" s="7"/>
      <c r="V42" s="7"/>
      <c r="W42" s="7"/>
      <c r="X42" s="7"/>
      <c r="Y42" s="7"/>
      <c r="Z42" s="7"/>
    </row>
    <row r="43" customFormat="false" ht="16.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16.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16.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16.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16.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16.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16.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row r="50" customFormat="false" ht="16.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6.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6.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6.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6.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6.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6.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6.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6.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6.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6.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6.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6.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6.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6.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6.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6.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6.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6.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6.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6.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6.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6.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6.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6.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6.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6.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6.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6.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6.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6.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6.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6.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6.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6.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6.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6.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6.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6.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6.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6.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6.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6.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6.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6.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6.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6.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6.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6.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6.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6.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6.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6.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6.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6.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6.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6.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6.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6.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6.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6.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6.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6.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6.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6.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6.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6.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6.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6.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6.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6.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6.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6.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6.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6.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6.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6.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6.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6.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6.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6.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6.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6.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6.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6.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6.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6.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6.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6.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6.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6.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6.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6.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6.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6.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6.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6.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6.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6.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6.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6.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6.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6.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6.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6.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6.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6.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6.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6.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6.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6.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6.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6.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6.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6.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6.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6.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6.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6.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6.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6.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6.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6.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6.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6.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6.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6.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6.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6.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6.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6.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6.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6.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6.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6.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6.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6.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6.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6.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6.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6.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6.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6.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6.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6.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6.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6.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6.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6.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6.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6.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6.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6.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6.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6.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6.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6.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6.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6.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6.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6.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6.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6.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6.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6.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6.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6.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6.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6.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6.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6.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6.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6.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6.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6.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6.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6.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6.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6.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6.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6.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6.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6.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6.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6.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6.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6.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6.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6.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6.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6.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6.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6.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6.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6.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6.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6.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6.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6.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6.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6.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6.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6.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6.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6.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6.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6.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6.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6.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6.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6.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6.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6.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6.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6.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6.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6.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6.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6.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6.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6.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6.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6.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6.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6.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6.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6.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6.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6.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6.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6.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6.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6.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6.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6.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6.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6.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6.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6.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6.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6.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6.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6.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6.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6.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6.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6.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6.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6.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6.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6.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6.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6.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6.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6.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6.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6.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6.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6.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6.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6.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6.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6.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6.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6.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6.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6.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6.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6.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6.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6.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6.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6.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6.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6.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6.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6.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6.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6.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6.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6.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6.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6.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6.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6.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6.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6.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6.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6.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6.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6.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6.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6.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6.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6.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6.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6.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6.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6.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6.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6.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6.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6.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6.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6.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6.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6.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6.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6.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6.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6.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6.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6.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6.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6.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6.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6.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6.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6.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6.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6.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6.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6.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6.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6.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6.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6.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6.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6.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6.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6.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6.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6.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6.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6.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6.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6.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6.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6.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6.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6.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6.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6.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6.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6.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6.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6.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6.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6.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6.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6.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6.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6.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6.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6.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6.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6.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6.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6.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6.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6.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6.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6.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6.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6.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6.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6.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6.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6.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6.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6.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6.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6.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6.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6.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6.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6.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6.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6.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6.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6.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6.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6.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6.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6.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6.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6.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6.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6.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6.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6.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6.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6.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6.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6.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6.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6.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6.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6.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6.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6.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6.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6.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6.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6.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6.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6.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6.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6.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6.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6.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6.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6.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6.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6.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6.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6.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6.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6.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6.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6.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6.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6.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6.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6.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6.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6.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6.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6.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6.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6.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6.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6.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6.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6.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6.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6.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6.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6.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6.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6.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6.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6.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6.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6.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6.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6.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6.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6.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6.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6.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6.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6.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6.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6.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6.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6.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6.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6.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6.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6.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6.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6.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6.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6.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6.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6.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6.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6.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6.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6.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6.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6.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6.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6.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6.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6.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6.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6.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6.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6.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6.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6.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6.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6.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6.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6.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6.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6.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6.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6.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6.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6.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6.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6.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6.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6.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6.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6.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6.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6.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6.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6.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6.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6.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6.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6.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6.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6.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6.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6.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6.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6.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6.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6.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6.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6.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6.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6.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6.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6.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6.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6.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6.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6.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6.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6.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6.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6.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6.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6.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6.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6.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6.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6.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6.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6.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6.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6.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6.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6.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6.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6.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6.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6.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6.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6.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6.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6.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6.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6.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6.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6.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6.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6.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6.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6.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6.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6.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6.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6.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6.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6.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6.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6.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6.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6.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6.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6.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6.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6.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6.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6.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6.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6.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6.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6.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6.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6.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6.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6.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6.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6.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6.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6.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6.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6.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6.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6.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6.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6.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6.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6.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6.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6.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6.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6.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6.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6.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6.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6.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6.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6.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6.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6.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6.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6.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6.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6.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6.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6.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6.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6.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6.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6.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6.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6.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6.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6.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6.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6.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6.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6.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6.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6.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6.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6.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6.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6.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6.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6.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6.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6.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6.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6.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6.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6.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6.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6.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6.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6.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6.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6.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6.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6.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6.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6.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6.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6.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6.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6.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6.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6.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6.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6.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6.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6.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6.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6.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6.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6.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6.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6.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6.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6.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6.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6.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6.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6.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6.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6.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6.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6.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6.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6.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6.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6.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6.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6.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6.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6.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6.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6.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6.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6.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6.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6.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6.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6.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6.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6.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6.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6.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6.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6.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6.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6.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6.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6.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6.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6.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6.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6.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6.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6.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6.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6.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6.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6.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6.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6.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6.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6.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6.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6.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6.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6.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6.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6.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6.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6.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6.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6.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6.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6.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6.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6.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6.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6.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6.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6.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6.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6.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6.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6.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6.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6.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6.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6.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6.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6.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6.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6.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6.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6.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6.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6.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6.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6.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6.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6.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6.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6.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6.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6.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6.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6.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6.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6.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6.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6.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6.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6.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6.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6.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6.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6.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6.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6.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6.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6.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6.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6.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6.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6.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6.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6.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6.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6.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6.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6.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6.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6.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6.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6.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6.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6.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6.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6.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6.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6.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6.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6.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6.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6.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6.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6.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6.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6.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6.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6.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6.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6.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6.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6.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6.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6.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6.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6.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6.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6.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6.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6.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6.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6.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6.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6.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6.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6.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6.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6.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6.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6.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6.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6.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6.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6.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6.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6.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6.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6.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6.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6.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6.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6.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6.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6.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6.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6.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6.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6.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6.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6.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6.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6.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6.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6.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6.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6.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6.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6.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6.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6.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6.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6.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6.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6.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6.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6.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6.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6.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6.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6.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6.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6.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6.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6.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6.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6.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6.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6.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6.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6.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6.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6.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6.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6.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6.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6.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6.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6.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6.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6.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6.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6.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6.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6.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6.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6.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6.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6.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6.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6.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6.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6.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6.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6.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6.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6.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6.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6.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6.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6.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6.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6.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6.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6.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6.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6.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6.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6.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6.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6.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6.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6.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6.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6.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6.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6.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6.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6.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6.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6.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6.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6.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6.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6.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6.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6.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6.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6.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6.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6.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6.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6.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6.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6.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6.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6.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6.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6.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6.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6.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6.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6.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6.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6.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6.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6.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6.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6.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1">
    <mergeCell ref="A1:I1"/>
    <mergeCell ref="A2:I2"/>
    <mergeCell ref="F3:I3"/>
    <mergeCell ref="A4:A5"/>
    <mergeCell ref="B4:B5"/>
    <mergeCell ref="C4:C5"/>
    <mergeCell ref="D4:F4"/>
    <mergeCell ref="G4:G5"/>
    <mergeCell ref="H4:H5"/>
    <mergeCell ref="I4:I5"/>
    <mergeCell ref="A27:B28"/>
    <mergeCell ref="C27:E27"/>
    <mergeCell ref="F27:H27"/>
    <mergeCell ref="A29:B29"/>
    <mergeCell ref="A30:B30"/>
    <mergeCell ref="A31:B31"/>
    <mergeCell ref="A32:B32"/>
    <mergeCell ref="A37:I38"/>
    <mergeCell ref="A39:I39"/>
    <mergeCell ref="A40:I41"/>
    <mergeCell ref="A42:I42"/>
  </mergeCells>
  <printOptions headings="false" gridLines="false" gridLinesSet="true" horizontalCentered="false" verticalCentered="false"/>
  <pageMargins left="0.379861111111111" right="0.290277777777778" top="0.45" bottom="0.229861111111111" header="0.511811023622047" footer="0.511811023622047"/>
  <pageSetup paperSize="1" scale="9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 min="1" style="1" width="9.14"/>
    <col collapsed="false" customWidth="true" hidden="false" outlineLevel="0" max="3" min="3" style="1" width="20.14"/>
    <col collapsed="false" customWidth="true" hidden="false" outlineLevel="0" max="6" min="4" style="1" width="9.14"/>
    <col collapsed="false" customWidth="true" hidden="false" outlineLevel="0" max="7" min="7" style="1" width="18.14"/>
    <col collapsed="false" customWidth="true" hidden="false" outlineLevel="0" max="8" min="8" style="1" width="11.43"/>
    <col collapsed="false" customWidth="true" hidden="false" outlineLevel="0" max="9" min="9" style="1" width="18.43"/>
    <col collapsed="false" customWidth="true" hidden="false" outlineLevel="0" max="24" min="10" style="1" width="8.57"/>
  </cols>
  <sheetData>
    <row r="1" customFormat="false" ht="16.5" hidden="false" customHeight="true" outlineLevel="0" collapsed="false">
      <c r="A1" s="44" t="s">
        <v>5</v>
      </c>
      <c r="B1" s="44"/>
      <c r="C1" s="44"/>
      <c r="D1" s="44"/>
      <c r="E1" s="44"/>
      <c r="F1" s="44"/>
      <c r="G1" s="44"/>
      <c r="H1" s="44"/>
      <c r="I1" s="44"/>
      <c r="J1" s="45"/>
      <c r="K1" s="45"/>
      <c r="L1" s="45"/>
      <c r="M1" s="45"/>
      <c r="N1" s="45"/>
      <c r="O1" s="45"/>
      <c r="P1" s="45"/>
      <c r="Q1" s="45"/>
      <c r="R1" s="45"/>
      <c r="S1" s="45"/>
      <c r="T1" s="45"/>
      <c r="U1" s="45"/>
      <c r="V1" s="45"/>
      <c r="W1" s="45"/>
      <c r="X1" s="45"/>
      <c r="Y1" s="162"/>
      <c r="Z1" s="162"/>
    </row>
    <row r="2" customFormat="false" ht="16.5" hidden="false" customHeight="true" outlineLevel="0" collapsed="false">
      <c r="A2" s="44" t="s">
        <v>303</v>
      </c>
      <c r="B2" s="44"/>
      <c r="C2" s="44"/>
      <c r="D2" s="44"/>
      <c r="E2" s="44"/>
      <c r="F2" s="44"/>
      <c r="G2" s="44"/>
      <c r="H2" s="44"/>
      <c r="I2" s="44"/>
      <c r="J2" s="45"/>
      <c r="K2" s="45"/>
      <c r="L2" s="45"/>
      <c r="M2" s="45"/>
      <c r="N2" s="45"/>
      <c r="O2" s="45"/>
      <c r="P2" s="45"/>
      <c r="Q2" s="45"/>
      <c r="R2" s="45"/>
      <c r="S2" s="45"/>
      <c r="T2" s="45"/>
      <c r="U2" s="45"/>
      <c r="V2" s="45"/>
      <c r="W2" s="45"/>
      <c r="X2" s="45"/>
      <c r="Y2" s="162"/>
      <c r="Z2" s="162"/>
    </row>
    <row r="3" customFormat="false" ht="16.5" hidden="false" customHeight="true" outlineLevel="0" collapsed="false">
      <c r="A3" s="173" t="s">
        <v>304</v>
      </c>
      <c r="B3" s="173"/>
      <c r="C3" s="51" t="s">
        <v>32</v>
      </c>
      <c r="D3" s="51"/>
      <c r="E3" s="51"/>
      <c r="F3" s="51"/>
      <c r="G3" s="51"/>
      <c r="H3" s="51"/>
      <c r="I3" s="51"/>
      <c r="J3" s="45"/>
      <c r="K3" s="45"/>
      <c r="L3" s="45"/>
      <c r="M3" s="45"/>
      <c r="N3" s="45"/>
      <c r="O3" s="45"/>
      <c r="P3" s="45"/>
      <c r="Q3" s="45"/>
      <c r="R3" s="45"/>
      <c r="S3" s="45"/>
      <c r="T3" s="45"/>
      <c r="U3" s="45"/>
      <c r="V3" s="45"/>
      <c r="W3" s="45"/>
      <c r="X3" s="45"/>
      <c r="Y3" s="162"/>
      <c r="Z3" s="162"/>
    </row>
    <row r="4" customFormat="false" ht="16.5" hidden="false" customHeight="true" outlineLevel="0" collapsed="false">
      <c r="A4" s="173"/>
      <c r="B4" s="173"/>
      <c r="C4" s="51"/>
      <c r="D4" s="51"/>
      <c r="E4" s="51"/>
      <c r="F4" s="51"/>
      <c r="G4" s="51"/>
      <c r="H4" s="51"/>
      <c r="I4" s="51"/>
      <c r="J4" s="45"/>
      <c r="K4" s="45"/>
      <c r="L4" s="45"/>
      <c r="M4" s="45"/>
      <c r="N4" s="45"/>
      <c r="O4" s="45"/>
      <c r="P4" s="45"/>
      <c r="Q4" s="45"/>
      <c r="R4" s="45"/>
      <c r="S4" s="45"/>
      <c r="T4" s="45"/>
      <c r="U4" s="45"/>
      <c r="V4" s="45"/>
      <c r="W4" s="45"/>
      <c r="X4" s="45"/>
      <c r="Y4" s="162"/>
      <c r="Z4" s="162"/>
    </row>
    <row r="5" customFormat="false" ht="16.5" hidden="false" customHeight="true" outlineLevel="0" collapsed="false">
      <c r="A5" s="174" t="s">
        <v>305</v>
      </c>
      <c r="B5" s="174"/>
      <c r="C5" s="51" t="s">
        <v>306</v>
      </c>
      <c r="D5" s="51"/>
      <c r="E5" s="51"/>
      <c r="F5" s="51"/>
      <c r="G5" s="51"/>
      <c r="H5" s="51"/>
      <c r="I5" s="51"/>
      <c r="J5" s="45"/>
      <c r="K5" s="45"/>
      <c r="L5" s="45"/>
      <c r="M5" s="45"/>
      <c r="N5" s="45"/>
      <c r="O5" s="45"/>
      <c r="P5" s="45"/>
      <c r="Q5" s="45"/>
      <c r="R5" s="45"/>
      <c r="S5" s="45"/>
      <c r="T5" s="45"/>
      <c r="U5" s="45"/>
      <c r="V5" s="45"/>
      <c r="W5" s="45"/>
      <c r="X5" s="45"/>
      <c r="Y5" s="162"/>
      <c r="Z5" s="162"/>
    </row>
    <row r="6" customFormat="false" ht="26.25" hidden="false" customHeight="true" outlineLevel="0" collapsed="false">
      <c r="A6" s="174"/>
      <c r="B6" s="174"/>
      <c r="C6" s="51"/>
      <c r="D6" s="51"/>
      <c r="E6" s="51"/>
      <c r="F6" s="51"/>
      <c r="G6" s="51"/>
      <c r="H6" s="51"/>
      <c r="I6" s="51"/>
      <c r="J6" s="45"/>
      <c r="K6" s="45"/>
      <c r="L6" s="45"/>
      <c r="M6" s="45"/>
      <c r="N6" s="45"/>
      <c r="O6" s="45"/>
      <c r="P6" s="45"/>
      <c r="Q6" s="45"/>
      <c r="R6" s="45"/>
      <c r="S6" s="45"/>
      <c r="T6" s="45"/>
      <c r="U6" s="45"/>
      <c r="V6" s="45"/>
      <c r="W6" s="45"/>
      <c r="X6" s="45"/>
      <c r="Y6" s="162"/>
      <c r="Z6" s="162"/>
    </row>
    <row r="7" customFormat="false" ht="16.5" hidden="false" customHeight="true" outlineLevel="0" collapsed="false">
      <c r="A7" s="45"/>
      <c r="B7" s="45"/>
      <c r="C7" s="45"/>
      <c r="D7" s="45"/>
      <c r="E7" s="45"/>
      <c r="F7" s="45"/>
      <c r="G7" s="45"/>
      <c r="H7" s="45"/>
      <c r="I7" s="45"/>
      <c r="J7" s="45"/>
      <c r="K7" s="45"/>
      <c r="L7" s="45"/>
      <c r="M7" s="45"/>
      <c r="N7" s="45"/>
      <c r="O7" s="45"/>
      <c r="P7" s="45"/>
      <c r="Q7" s="45"/>
      <c r="R7" s="45"/>
      <c r="S7" s="45"/>
      <c r="T7" s="45"/>
      <c r="U7" s="45"/>
      <c r="V7" s="45"/>
      <c r="W7" s="45"/>
      <c r="X7" s="45"/>
      <c r="Y7" s="162"/>
      <c r="Z7" s="162"/>
    </row>
    <row r="8" customFormat="false" ht="16.5" hidden="false" customHeight="true" outlineLevel="0" collapsed="false">
      <c r="A8" s="52" t="s">
        <v>307</v>
      </c>
      <c r="B8" s="59"/>
      <c r="C8" s="59"/>
      <c r="D8" s="59"/>
      <c r="E8" s="59"/>
      <c r="F8" s="59"/>
      <c r="G8" s="59"/>
      <c r="H8" s="45"/>
      <c r="I8" s="45"/>
      <c r="J8" s="45"/>
      <c r="K8" s="45"/>
      <c r="L8" s="45"/>
      <c r="M8" s="45"/>
      <c r="N8" s="45"/>
      <c r="O8" s="45"/>
      <c r="P8" s="45"/>
      <c r="Q8" s="45"/>
      <c r="R8" s="45"/>
      <c r="S8" s="45"/>
      <c r="T8" s="45"/>
      <c r="U8" s="45"/>
      <c r="V8" s="45"/>
      <c r="W8" s="45"/>
      <c r="X8" s="45"/>
      <c r="Y8" s="162"/>
      <c r="Z8" s="162"/>
    </row>
    <row r="9" customFormat="false" ht="32.25" hidden="false" customHeight="true" outlineLevel="0" collapsed="false">
      <c r="A9" s="51" t="s">
        <v>34</v>
      </c>
      <c r="B9" s="51" t="s">
        <v>308</v>
      </c>
      <c r="C9" s="51"/>
      <c r="D9" s="51"/>
      <c r="E9" s="51"/>
      <c r="F9" s="51"/>
      <c r="G9" s="175" t="s">
        <v>309</v>
      </c>
      <c r="H9" s="47" t="s">
        <v>310</v>
      </c>
      <c r="I9" s="61" t="s">
        <v>311</v>
      </c>
      <c r="J9" s="45"/>
      <c r="K9" s="45"/>
      <c r="L9" s="45"/>
      <c r="M9" s="45"/>
      <c r="N9" s="45"/>
      <c r="O9" s="45"/>
      <c r="P9" s="45"/>
      <c r="Q9" s="45"/>
      <c r="R9" s="45"/>
      <c r="S9" s="45"/>
      <c r="T9" s="45"/>
      <c r="U9" s="45"/>
      <c r="V9" s="45"/>
      <c r="W9" s="45"/>
      <c r="X9" s="45"/>
      <c r="Y9" s="162"/>
      <c r="Z9" s="162"/>
    </row>
    <row r="10" customFormat="false" ht="16.5" hidden="false" customHeight="true" outlineLevel="0" collapsed="false">
      <c r="A10" s="63" t="n">
        <v>1</v>
      </c>
      <c r="B10" s="173" t="s">
        <v>312</v>
      </c>
      <c r="C10" s="173"/>
      <c r="D10" s="176"/>
      <c r="E10" s="176"/>
      <c r="F10" s="177"/>
      <c r="G10" s="178"/>
      <c r="H10" s="178"/>
      <c r="I10" s="179"/>
      <c r="J10" s="45"/>
      <c r="K10" s="45"/>
      <c r="L10" s="45"/>
      <c r="M10" s="45"/>
      <c r="N10" s="45"/>
      <c r="O10" s="45"/>
      <c r="P10" s="45"/>
      <c r="Q10" s="45"/>
      <c r="R10" s="45"/>
      <c r="S10" s="45"/>
      <c r="T10" s="45"/>
      <c r="U10" s="45"/>
      <c r="V10" s="45"/>
      <c r="W10" s="45"/>
      <c r="X10" s="45"/>
      <c r="Y10" s="162"/>
      <c r="Z10" s="162"/>
    </row>
    <row r="11" customFormat="false" ht="16.5" hidden="false" customHeight="true" outlineLevel="0" collapsed="false">
      <c r="A11" s="63" t="n">
        <v>2</v>
      </c>
      <c r="B11" s="173" t="s">
        <v>313</v>
      </c>
      <c r="C11" s="173"/>
      <c r="D11" s="176"/>
      <c r="E11" s="176" t="s">
        <v>314</v>
      </c>
      <c r="F11" s="177"/>
      <c r="G11" s="178" t="n">
        <v>200</v>
      </c>
      <c r="H11" s="179" t="n">
        <v>250</v>
      </c>
      <c r="I11" s="179" t="n">
        <f aca="false">G11*H11</f>
        <v>50000</v>
      </c>
      <c r="J11" s="45"/>
      <c r="K11" s="45"/>
      <c r="L11" s="45"/>
      <c r="M11" s="45"/>
      <c r="N11" s="45"/>
      <c r="O11" s="45"/>
      <c r="P11" s="45"/>
      <c r="Q11" s="45"/>
      <c r="R11" s="45"/>
      <c r="S11" s="45"/>
      <c r="T11" s="45"/>
      <c r="U11" s="45"/>
      <c r="V11" s="45"/>
      <c r="W11" s="45"/>
      <c r="X11" s="45"/>
      <c r="Y11" s="162"/>
      <c r="Z11" s="162"/>
    </row>
    <row r="12" customFormat="false" ht="16.5" hidden="false" customHeight="true" outlineLevel="0" collapsed="false">
      <c r="A12" s="63" t="n">
        <v>3</v>
      </c>
      <c r="B12" s="173" t="s">
        <v>61</v>
      </c>
      <c r="C12" s="173"/>
      <c r="D12" s="176"/>
      <c r="E12" s="176"/>
      <c r="F12" s="177"/>
      <c r="G12" s="178" t="n">
        <v>85</v>
      </c>
      <c r="H12" s="179" t="n">
        <v>2500</v>
      </c>
      <c r="I12" s="179" t="n">
        <f aca="false">G12*H12</f>
        <v>212500</v>
      </c>
      <c r="J12" s="45"/>
      <c r="K12" s="45"/>
      <c r="L12" s="45"/>
      <c r="M12" s="45"/>
      <c r="N12" s="45"/>
      <c r="O12" s="45"/>
      <c r="P12" s="45"/>
      <c r="Q12" s="45"/>
      <c r="R12" s="45"/>
      <c r="S12" s="45"/>
      <c r="T12" s="45"/>
      <c r="U12" s="45"/>
      <c r="V12" s="45"/>
      <c r="W12" s="45"/>
      <c r="X12" s="45"/>
      <c r="Y12" s="162"/>
      <c r="Z12" s="162"/>
    </row>
    <row r="13" customFormat="false" ht="16.5" hidden="false" customHeight="true" outlineLevel="0" collapsed="false">
      <c r="A13" s="63"/>
      <c r="B13" s="180"/>
      <c r="C13" s="180"/>
      <c r="D13" s="53"/>
      <c r="E13" s="53"/>
      <c r="F13" s="181"/>
      <c r="G13" s="71"/>
      <c r="H13" s="71"/>
      <c r="I13" s="66"/>
      <c r="J13" s="45"/>
      <c r="K13" s="45"/>
      <c r="L13" s="45"/>
      <c r="M13" s="45"/>
      <c r="N13" s="45"/>
      <c r="O13" s="45"/>
      <c r="P13" s="45"/>
      <c r="Q13" s="45"/>
      <c r="R13" s="45"/>
      <c r="S13" s="45"/>
      <c r="T13" s="45"/>
      <c r="U13" s="45"/>
      <c r="V13" s="45"/>
      <c r="W13" s="45"/>
      <c r="X13" s="45"/>
      <c r="Y13" s="162"/>
      <c r="Z13" s="162"/>
    </row>
    <row r="14" customFormat="false" ht="16.5" hidden="false" customHeight="true" outlineLevel="0" collapsed="false">
      <c r="A14" s="63"/>
      <c r="B14" s="180"/>
      <c r="C14" s="180"/>
      <c r="D14" s="53"/>
      <c r="E14" s="53"/>
      <c r="F14" s="181"/>
      <c r="G14" s="71"/>
      <c r="H14" s="71"/>
      <c r="I14" s="66"/>
      <c r="J14" s="45"/>
      <c r="K14" s="45"/>
      <c r="L14" s="45"/>
      <c r="M14" s="45"/>
      <c r="N14" s="45"/>
      <c r="O14" s="45"/>
      <c r="P14" s="45"/>
      <c r="Q14" s="45"/>
      <c r="R14" s="45"/>
      <c r="S14" s="45"/>
      <c r="T14" s="45"/>
      <c r="U14" s="45"/>
      <c r="V14" s="45"/>
      <c r="W14" s="45"/>
      <c r="X14" s="45"/>
      <c r="Y14" s="162"/>
      <c r="Z14" s="162"/>
    </row>
    <row r="15" customFormat="false" ht="16.5" hidden="false" customHeight="true" outlineLevel="0" collapsed="false">
      <c r="A15" s="182" t="s">
        <v>315</v>
      </c>
      <c r="B15" s="182"/>
      <c r="C15" s="182"/>
      <c r="D15" s="182"/>
      <c r="E15" s="182"/>
      <c r="F15" s="182"/>
      <c r="G15" s="182"/>
      <c r="H15" s="182"/>
      <c r="I15" s="66" t="n">
        <f aca="false">SUM(I10:I14)</f>
        <v>262500</v>
      </c>
      <c r="J15" s="45"/>
      <c r="K15" s="45"/>
      <c r="L15" s="45"/>
      <c r="M15" s="45"/>
      <c r="N15" s="45"/>
      <c r="O15" s="45"/>
      <c r="P15" s="45"/>
      <c r="Q15" s="45"/>
      <c r="R15" s="45"/>
      <c r="S15" s="45"/>
      <c r="T15" s="45"/>
      <c r="U15" s="45"/>
      <c r="V15" s="45"/>
      <c r="W15" s="45"/>
      <c r="X15" s="45"/>
      <c r="Y15" s="162"/>
      <c r="Z15" s="162"/>
    </row>
    <row r="16" customFormat="false" ht="16.5" hidden="false" customHeight="true" outlineLevel="0" collapsed="false">
      <c r="A16" s="183"/>
      <c r="B16" s="183"/>
      <c r="C16" s="183"/>
      <c r="D16" s="183"/>
      <c r="E16" s="183"/>
      <c r="F16" s="183"/>
      <c r="G16" s="183"/>
      <c r="H16" s="183"/>
      <c r="I16" s="45"/>
      <c r="J16" s="45"/>
      <c r="K16" s="45"/>
      <c r="L16" s="45"/>
      <c r="M16" s="45"/>
      <c r="N16" s="45"/>
      <c r="O16" s="45"/>
      <c r="P16" s="45"/>
      <c r="Q16" s="45"/>
      <c r="R16" s="45"/>
      <c r="S16" s="45"/>
      <c r="T16" s="45"/>
      <c r="U16" s="45"/>
      <c r="V16" s="45"/>
      <c r="W16" s="45"/>
      <c r="X16" s="45"/>
      <c r="Y16" s="162"/>
      <c r="Z16" s="162"/>
    </row>
    <row r="17" customFormat="false" ht="16.5" hidden="false" customHeight="true" outlineLevel="0" collapsed="false">
      <c r="A17" s="90" t="s">
        <v>316</v>
      </c>
      <c r="B17" s="183"/>
      <c r="C17" s="183"/>
      <c r="D17" s="183"/>
      <c r="E17" s="183"/>
      <c r="F17" s="183"/>
      <c r="G17" s="183"/>
      <c r="H17" s="183"/>
      <c r="I17" s="45"/>
      <c r="J17" s="45"/>
      <c r="K17" s="45"/>
      <c r="L17" s="45"/>
      <c r="M17" s="45"/>
      <c r="N17" s="45"/>
      <c r="O17" s="45"/>
      <c r="P17" s="45"/>
      <c r="Q17" s="45"/>
      <c r="R17" s="45"/>
      <c r="S17" s="45"/>
      <c r="T17" s="45"/>
      <c r="U17" s="45"/>
      <c r="V17" s="45"/>
      <c r="W17" s="45"/>
      <c r="X17" s="45"/>
      <c r="Y17" s="162"/>
      <c r="Z17" s="162"/>
    </row>
    <row r="18" customFormat="false" ht="29.25" hidden="false" customHeight="true" outlineLevel="0" collapsed="false">
      <c r="A18" s="51" t="s">
        <v>34</v>
      </c>
      <c r="B18" s="51" t="s">
        <v>317</v>
      </c>
      <c r="C18" s="51"/>
      <c r="D18" s="51"/>
      <c r="E18" s="51"/>
      <c r="F18" s="51"/>
      <c r="G18" s="184" t="s">
        <v>237</v>
      </c>
      <c r="H18" s="47" t="s">
        <v>310</v>
      </c>
      <c r="I18" s="185" t="s">
        <v>311</v>
      </c>
      <c r="J18" s="45"/>
      <c r="K18" s="45"/>
      <c r="L18" s="45"/>
      <c r="M18" s="45"/>
      <c r="N18" s="45"/>
      <c r="O18" s="45"/>
      <c r="P18" s="45"/>
      <c r="Q18" s="45"/>
      <c r="R18" s="45"/>
      <c r="S18" s="45"/>
      <c r="T18" s="45"/>
      <c r="U18" s="45"/>
      <c r="V18" s="45"/>
      <c r="W18" s="45"/>
      <c r="X18" s="45"/>
      <c r="Y18" s="162"/>
      <c r="Z18" s="162"/>
    </row>
    <row r="19" customFormat="false" ht="16.5" hidden="false" customHeight="true" outlineLevel="0" collapsed="false">
      <c r="A19" s="63" t="n">
        <v>1</v>
      </c>
      <c r="B19" s="186" t="s">
        <v>318</v>
      </c>
      <c r="C19" s="186"/>
      <c r="D19" s="186"/>
      <c r="E19" s="186"/>
      <c r="F19" s="186"/>
      <c r="G19" s="178" t="n">
        <v>20</v>
      </c>
      <c r="H19" s="178" t="n">
        <v>10000</v>
      </c>
      <c r="I19" s="187" t="n">
        <f aca="false">G19*H19</f>
        <v>200000</v>
      </c>
      <c r="J19" s="45"/>
      <c r="K19" s="45"/>
      <c r="L19" s="45"/>
      <c r="M19" s="45"/>
      <c r="N19" s="45"/>
      <c r="O19" s="45"/>
      <c r="P19" s="45"/>
      <c r="Q19" s="45"/>
      <c r="R19" s="45"/>
      <c r="S19" s="45"/>
      <c r="T19" s="45"/>
      <c r="U19" s="45"/>
      <c r="V19" s="45"/>
      <c r="W19" s="45"/>
      <c r="X19" s="45"/>
      <c r="Y19" s="162"/>
      <c r="Z19" s="162"/>
    </row>
    <row r="20" customFormat="false" ht="16.5" hidden="false" customHeight="true" outlineLevel="0" collapsed="false">
      <c r="A20" s="63" t="n">
        <f aca="false">A19+1</f>
        <v>2</v>
      </c>
      <c r="B20" s="186" t="s">
        <v>319</v>
      </c>
      <c r="C20" s="186"/>
      <c r="D20" s="186"/>
      <c r="E20" s="186"/>
      <c r="F20" s="186"/>
      <c r="G20" s="178" t="n">
        <v>1</v>
      </c>
      <c r="H20" s="178" t="n">
        <v>500000</v>
      </c>
      <c r="I20" s="187" t="n">
        <f aca="false">G20*H20</f>
        <v>500000</v>
      </c>
      <c r="J20" s="45"/>
      <c r="K20" s="45"/>
      <c r="L20" s="45"/>
      <c r="M20" s="45"/>
      <c r="N20" s="45"/>
      <c r="O20" s="45"/>
      <c r="P20" s="45"/>
      <c r="Q20" s="45"/>
      <c r="R20" s="45"/>
      <c r="S20" s="45"/>
      <c r="T20" s="45"/>
      <c r="U20" s="45"/>
      <c r="V20" s="45"/>
      <c r="W20" s="45"/>
      <c r="X20" s="45"/>
      <c r="Y20" s="162"/>
      <c r="Z20" s="162"/>
    </row>
    <row r="21" customFormat="false" ht="16.5" hidden="false" customHeight="true" outlineLevel="0" collapsed="false">
      <c r="A21" s="63" t="n">
        <f aca="false">A20+1</f>
        <v>3</v>
      </c>
      <c r="B21" s="186" t="s">
        <v>320</v>
      </c>
      <c r="C21" s="186"/>
      <c r="D21" s="186"/>
      <c r="E21" s="186"/>
      <c r="F21" s="186"/>
      <c r="G21" s="178" t="n">
        <v>50</v>
      </c>
      <c r="H21" s="178" t="n">
        <v>10000</v>
      </c>
      <c r="I21" s="187" t="n">
        <f aca="false">G21*H21</f>
        <v>500000</v>
      </c>
      <c r="J21" s="45"/>
      <c r="K21" s="45"/>
      <c r="L21" s="45"/>
      <c r="M21" s="45"/>
      <c r="N21" s="45"/>
      <c r="O21" s="45"/>
      <c r="P21" s="45"/>
      <c r="Q21" s="45"/>
      <c r="R21" s="45"/>
      <c r="S21" s="45"/>
      <c r="T21" s="45"/>
      <c r="U21" s="45"/>
      <c r="V21" s="45"/>
      <c r="W21" s="45"/>
      <c r="X21" s="45"/>
      <c r="Y21" s="162"/>
      <c r="Z21" s="162"/>
    </row>
    <row r="22" customFormat="false" ht="16.5" hidden="false" customHeight="true" outlineLevel="0" collapsed="false">
      <c r="A22" s="63" t="n">
        <f aca="false">A21+1</f>
        <v>4</v>
      </c>
      <c r="B22" s="186" t="s">
        <v>321</v>
      </c>
      <c r="C22" s="186"/>
      <c r="D22" s="186"/>
      <c r="E22" s="186"/>
      <c r="F22" s="186"/>
      <c r="G22" s="178" t="n">
        <v>5</v>
      </c>
      <c r="H22" s="178" t="n">
        <v>10000</v>
      </c>
      <c r="I22" s="187" t="n">
        <f aca="false">G22*H22</f>
        <v>50000</v>
      </c>
      <c r="J22" s="45"/>
      <c r="K22" s="45"/>
      <c r="L22" s="45"/>
      <c r="M22" s="45"/>
      <c r="N22" s="45"/>
      <c r="O22" s="45"/>
      <c r="P22" s="45"/>
      <c r="Q22" s="45"/>
      <c r="R22" s="45"/>
      <c r="S22" s="45"/>
      <c r="T22" s="45"/>
      <c r="U22" s="45"/>
      <c r="V22" s="45"/>
      <c r="W22" s="45"/>
      <c r="X22" s="45"/>
      <c r="Y22" s="162"/>
      <c r="Z22" s="162"/>
    </row>
    <row r="23" customFormat="false" ht="16.5" hidden="false" customHeight="true" outlineLevel="0" collapsed="false">
      <c r="A23" s="63" t="n">
        <f aca="false">A22+1</f>
        <v>5</v>
      </c>
      <c r="B23" s="186" t="s">
        <v>322</v>
      </c>
      <c r="C23" s="186"/>
      <c r="D23" s="186"/>
      <c r="E23" s="186"/>
      <c r="F23" s="186"/>
      <c r="G23" s="178" t="n">
        <v>1</v>
      </c>
      <c r="H23" s="178" t="n">
        <v>20000</v>
      </c>
      <c r="I23" s="187" t="n">
        <f aca="false">G23*H23</f>
        <v>20000</v>
      </c>
      <c r="J23" s="45"/>
      <c r="K23" s="45"/>
      <c r="L23" s="45"/>
      <c r="M23" s="45"/>
      <c r="N23" s="45"/>
      <c r="O23" s="45"/>
      <c r="P23" s="45"/>
      <c r="Q23" s="45"/>
      <c r="R23" s="45"/>
      <c r="S23" s="45"/>
      <c r="T23" s="45"/>
      <c r="U23" s="45"/>
      <c r="V23" s="45"/>
      <c r="W23" s="45"/>
      <c r="X23" s="45"/>
      <c r="Y23" s="162"/>
      <c r="Z23" s="162"/>
    </row>
    <row r="24" customFormat="false" ht="16.5" hidden="false" customHeight="true" outlineLevel="0" collapsed="false">
      <c r="A24" s="63" t="n">
        <f aca="false">A23+1</f>
        <v>6</v>
      </c>
      <c r="B24" s="186" t="s">
        <v>323</v>
      </c>
      <c r="C24" s="186"/>
      <c r="D24" s="186"/>
      <c r="E24" s="186"/>
      <c r="F24" s="186"/>
      <c r="G24" s="178" t="n">
        <v>10</v>
      </c>
      <c r="H24" s="178" t="n">
        <v>10000</v>
      </c>
      <c r="I24" s="187" t="n">
        <f aca="false">G24*H24</f>
        <v>100000</v>
      </c>
      <c r="J24" s="45"/>
      <c r="K24" s="45"/>
      <c r="L24" s="45"/>
      <c r="M24" s="45"/>
      <c r="N24" s="45"/>
      <c r="O24" s="45"/>
      <c r="P24" s="45"/>
      <c r="Q24" s="45"/>
      <c r="R24" s="45"/>
      <c r="S24" s="45"/>
      <c r="T24" s="45"/>
      <c r="U24" s="45"/>
      <c r="V24" s="45"/>
      <c r="W24" s="45"/>
      <c r="X24" s="45"/>
      <c r="Y24" s="162"/>
      <c r="Z24" s="162"/>
    </row>
    <row r="25" customFormat="false" ht="16.5" hidden="false" customHeight="true" outlineLevel="0" collapsed="false">
      <c r="A25" s="63" t="n">
        <f aca="false">A24+1</f>
        <v>7</v>
      </c>
      <c r="B25" s="186" t="s">
        <v>324</v>
      </c>
      <c r="C25" s="186"/>
      <c r="D25" s="186"/>
      <c r="E25" s="186"/>
      <c r="F25" s="186"/>
      <c r="G25" s="178" t="n">
        <v>4</v>
      </c>
      <c r="H25" s="178" t="n">
        <v>10000</v>
      </c>
      <c r="I25" s="187" t="n">
        <f aca="false">G25*H25</f>
        <v>40000</v>
      </c>
      <c r="J25" s="45"/>
      <c r="K25" s="45"/>
      <c r="L25" s="45"/>
      <c r="M25" s="45"/>
      <c r="N25" s="45"/>
      <c r="O25" s="45"/>
      <c r="P25" s="45"/>
      <c r="Q25" s="45"/>
      <c r="R25" s="45"/>
      <c r="S25" s="45"/>
      <c r="T25" s="45"/>
      <c r="U25" s="45"/>
      <c r="V25" s="45"/>
      <c r="W25" s="45"/>
      <c r="X25" s="45"/>
      <c r="Y25" s="162"/>
      <c r="Z25" s="162"/>
    </row>
    <row r="26" customFormat="false" ht="16.5" hidden="false" customHeight="true" outlineLevel="0" collapsed="false">
      <c r="A26" s="63" t="n">
        <f aca="false">A25+1</f>
        <v>8</v>
      </c>
      <c r="B26" s="186" t="s">
        <v>325</v>
      </c>
      <c r="C26" s="186"/>
      <c r="D26" s="186"/>
      <c r="E26" s="186"/>
      <c r="F26" s="186"/>
      <c r="G26" s="178" t="n">
        <v>1</v>
      </c>
      <c r="H26" s="178" t="n">
        <v>15000</v>
      </c>
      <c r="I26" s="187" t="n">
        <f aca="false">G26*H26</f>
        <v>15000</v>
      </c>
      <c r="J26" s="45"/>
      <c r="K26" s="45"/>
      <c r="L26" s="45"/>
      <c r="M26" s="45"/>
      <c r="N26" s="45"/>
      <c r="O26" s="45"/>
      <c r="P26" s="45"/>
      <c r="Q26" s="45"/>
      <c r="R26" s="45"/>
      <c r="S26" s="45"/>
      <c r="T26" s="45"/>
      <c r="U26" s="45"/>
      <c r="V26" s="45"/>
      <c r="W26" s="45"/>
      <c r="X26" s="45"/>
      <c r="Y26" s="162"/>
      <c r="Z26" s="162"/>
    </row>
    <row r="27" customFormat="false" ht="16.5" hidden="false" customHeight="true" outlineLevel="0" collapsed="false">
      <c r="A27" s="63" t="n">
        <f aca="false">A26+1</f>
        <v>9</v>
      </c>
      <c r="B27" s="186" t="s">
        <v>326</v>
      </c>
      <c r="C27" s="186"/>
      <c r="D27" s="186"/>
      <c r="E27" s="186"/>
      <c r="F27" s="186"/>
      <c r="G27" s="178" t="n">
        <v>1</v>
      </c>
      <c r="H27" s="179" t="n">
        <v>300000</v>
      </c>
      <c r="I27" s="187" t="n">
        <v>300000</v>
      </c>
      <c r="J27" s="45"/>
      <c r="K27" s="45"/>
      <c r="L27" s="45"/>
      <c r="M27" s="45"/>
      <c r="N27" s="45"/>
      <c r="O27" s="45"/>
      <c r="P27" s="45"/>
      <c r="Q27" s="45"/>
      <c r="R27" s="45"/>
      <c r="S27" s="45"/>
      <c r="T27" s="45"/>
      <c r="U27" s="45"/>
      <c r="V27" s="45"/>
      <c r="W27" s="45"/>
      <c r="X27" s="45"/>
      <c r="Y27" s="162"/>
      <c r="Z27" s="162"/>
    </row>
    <row r="28" customFormat="false" ht="16.5" hidden="false" customHeight="true" outlineLevel="0" collapsed="false">
      <c r="A28" s="63" t="n">
        <f aca="false">A27+1</f>
        <v>10</v>
      </c>
      <c r="B28" s="186" t="s">
        <v>327</v>
      </c>
      <c r="C28" s="186"/>
      <c r="D28" s="186"/>
      <c r="E28" s="186"/>
      <c r="F28" s="186"/>
      <c r="G28" s="178" t="n">
        <v>1</v>
      </c>
      <c r="H28" s="178" t="n">
        <v>50000</v>
      </c>
      <c r="I28" s="187" t="n">
        <f aca="false">G28*H28</f>
        <v>50000</v>
      </c>
      <c r="J28" s="45"/>
      <c r="K28" s="45"/>
      <c r="L28" s="45"/>
      <c r="M28" s="45"/>
      <c r="N28" s="45"/>
      <c r="O28" s="45"/>
      <c r="P28" s="45"/>
      <c r="Q28" s="45"/>
      <c r="R28" s="45"/>
      <c r="S28" s="45"/>
      <c r="T28" s="45"/>
      <c r="U28" s="45"/>
      <c r="V28" s="45"/>
      <c r="W28" s="45"/>
      <c r="X28" s="45"/>
      <c r="Y28" s="162"/>
      <c r="Z28" s="162"/>
    </row>
    <row r="29" customFormat="false" ht="16.5" hidden="false" customHeight="true" outlineLevel="0" collapsed="false">
      <c r="A29" s="63" t="n">
        <f aca="false">A28+1</f>
        <v>11</v>
      </c>
      <c r="B29" s="173" t="s">
        <v>328</v>
      </c>
      <c r="C29" s="188"/>
      <c r="D29" s="188"/>
      <c r="E29" s="188"/>
      <c r="F29" s="20"/>
      <c r="G29" s="178" t="n">
        <v>1</v>
      </c>
      <c r="H29" s="178" t="n">
        <v>20000</v>
      </c>
      <c r="I29" s="187" t="n">
        <f aca="false">G29*H29</f>
        <v>20000</v>
      </c>
      <c r="J29" s="45"/>
      <c r="K29" s="45"/>
      <c r="L29" s="45"/>
      <c r="M29" s="45"/>
      <c r="N29" s="45"/>
      <c r="O29" s="45"/>
      <c r="P29" s="45"/>
      <c r="Q29" s="45"/>
      <c r="R29" s="45"/>
      <c r="S29" s="45"/>
      <c r="T29" s="45"/>
      <c r="U29" s="45"/>
      <c r="V29" s="45"/>
      <c r="W29" s="45"/>
      <c r="X29" s="45"/>
      <c r="Y29" s="162"/>
      <c r="Z29" s="162"/>
    </row>
    <row r="30" customFormat="false" ht="16.5" hidden="false" customHeight="true" outlineLevel="0" collapsed="false">
      <c r="A30" s="63" t="n">
        <f aca="false">A29+1</f>
        <v>12</v>
      </c>
      <c r="B30" s="189" t="s">
        <v>329</v>
      </c>
      <c r="C30" s="189"/>
      <c r="D30" s="189"/>
      <c r="E30" s="189"/>
      <c r="F30" s="189"/>
      <c r="G30" s="178" t="n">
        <v>1</v>
      </c>
      <c r="H30" s="178" t="n">
        <v>25000</v>
      </c>
      <c r="I30" s="187" t="n">
        <f aca="false">G30*H30</f>
        <v>25000</v>
      </c>
      <c r="J30" s="45"/>
      <c r="K30" s="45"/>
      <c r="L30" s="45"/>
      <c r="M30" s="45"/>
      <c r="N30" s="45"/>
      <c r="O30" s="45"/>
      <c r="P30" s="45"/>
      <c r="Q30" s="45"/>
      <c r="R30" s="45"/>
      <c r="S30" s="45"/>
      <c r="T30" s="45"/>
      <c r="U30" s="45"/>
      <c r="V30" s="45"/>
      <c r="W30" s="45"/>
      <c r="X30" s="45"/>
      <c r="Y30" s="162"/>
      <c r="Z30" s="162"/>
    </row>
    <row r="31" customFormat="false" ht="16.5" hidden="false" customHeight="true" outlineLevel="0" collapsed="false">
      <c r="A31" s="63" t="n">
        <f aca="false">A30+1</f>
        <v>13</v>
      </c>
      <c r="B31" s="98" t="s">
        <v>330</v>
      </c>
      <c r="C31" s="98"/>
      <c r="D31" s="98"/>
      <c r="E31" s="98"/>
      <c r="F31" s="98"/>
      <c r="G31" s="178" t="n">
        <v>1</v>
      </c>
      <c r="H31" s="178" t="n">
        <v>100000</v>
      </c>
      <c r="I31" s="187" t="n">
        <f aca="false">G31*H31</f>
        <v>100000</v>
      </c>
      <c r="J31" s="45"/>
      <c r="K31" s="45"/>
      <c r="L31" s="45"/>
      <c r="M31" s="45"/>
      <c r="N31" s="45"/>
      <c r="O31" s="45"/>
      <c r="P31" s="45"/>
      <c r="Q31" s="45"/>
      <c r="R31" s="45"/>
      <c r="S31" s="45"/>
      <c r="T31" s="45"/>
      <c r="U31" s="45"/>
      <c r="V31" s="45"/>
      <c r="W31" s="45"/>
      <c r="X31" s="45"/>
      <c r="Y31" s="162"/>
      <c r="Z31" s="162"/>
    </row>
    <row r="32" customFormat="false" ht="16.5" hidden="false" customHeight="true" outlineLevel="0" collapsed="false">
      <c r="A32" s="63" t="n">
        <f aca="false">A31+1</f>
        <v>14</v>
      </c>
      <c r="B32" s="186" t="s">
        <v>331</v>
      </c>
      <c r="C32" s="186"/>
      <c r="D32" s="186"/>
      <c r="E32" s="186"/>
      <c r="F32" s="186"/>
      <c r="G32" s="178" t="n">
        <v>2</v>
      </c>
      <c r="H32" s="178" t="n">
        <v>50000</v>
      </c>
      <c r="I32" s="187" t="n">
        <f aca="false">G32*H32</f>
        <v>100000</v>
      </c>
      <c r="J32" s="45"/>
      <c r="K32" s="45"/>
      <c r="L32" s="45"/>
      <c r="M32" s="45"/>
      <c r="N32" s="45"/>
      <c r="O32" s="45"/>
      <c r="P32" s="45"/>
      <c r="Q32" s="45"/>
      <c r="R32" s="45"/>
      <c r="S32" s="45"/>
      <c r="T32" s="45"/>
      <c r="U32" s="45"/>
      <c r="V32" s="45"/>
      <c r="W32" s="45"/>
      <c r="X32" s="45"/>
      <c r="Y32" s="162"/>
      <c r="Z32" s="162"/>
    </row>
    <row r="33" customFormat="false" ht="16.5" hidden="false" customHeight="true" outlineLevel="0" collapsed="false">
      <c r="A33" s="63" t="n">
        <f aca="false">A32+1</f>
        <v>15</v>
      </c>
      <c r="B33" s="186" t="s">
        <v>332</v>
      </c>
      <c r="C33" s="186"/>
      <c r="D33" s="186"/>
      <c r="E33" s="186"/>
      <c r="F33" s="186"/>
      <c r="G33" s="178" t="n">
        <v>5</v>
      </c>
      <c r="H33" s="178" t="n">
        <v>3000</v>
      </c>
      <c r="I33" s="187" t="n">
        <f aca="false">G33*H33</f>
        <v>15000</v>
      </c>
      <c r="J33" s="45"/>
      <c r="K33" s="45"/>
      <c r="L33" s="45"/>
      <c r="M33" s="45"/>
      <c r="N33" s="45"/>
      <c r="O33" s="45"/>
      <c r="P33" s="45"/>
      <c r="Q33" s="45"/>
      <c r="R33" s="45"/>
      <c r="S33" s="45"/>
      <c r="T33" s="45"/>
      <c r="U33" s="45"/>
      <c r="V33" s="45"/>
      <c r="W33" s="45"/>
      <c r="X33" s="45"/>
      <c r="Y33" s="162"/>
      <c r="Z33" s="162"/>
    </row>
    <row r="34" customFormat="false" ht="16.5" hidden="false" customHeight="true" outlineLevel="0" collapsed="false">
      <c r="A34" s="63" t="n">
        <f aca="false">A33+1</f>
        <v>16</v>
      </c>
      <c r="B34" s="186" t="s">
        <v>333</v>
      </c>
      <c r="C34" s="186"/>
      <c r="D34" s="186"/>
      <c r="E34" s="186"/>
      <c r="F34" s="186"/>
      <c r="G34" s="178" t="n">
        <v>1</v>
      </c>
      <c r="H34" s="178" t="n">
        <v>30000</v>
      </c>
      <c r="I34" s="187" t="n">
        <f aca="false">G34*H34</f>
        <v>30000</v>
      </c>
      <c r="J34" s="45"/>
      <c r="K34" s="45"/>
      <c r="L34" s="45"/>
      <c r="M34" s="45"/>
      <c r="N34" s="45"/>
      <c r="O34" s="45"/>
      <c r="P34" s="45"/>
      <c r="Q34" s="45"/>
      <c r="R34" s="45"/>
      <c r="S34" s="45"/>
      <c r="T34" s="45"/>
      <c r="U34" s="45"/>
      <c r="V34" s="45"/>
      <c r="W34" s="45"/>
      <c r="X34" s="45"/>
      <c r="Y34" s="162"/>
      <c r="Z34" s="162"/>
    </row>
    <row r="35" customFormat="false" ht="16.5" hidden="false" customHeight="true" outlineLevel="0" collapsed="false">
      <c r="A35" s="63" t="n">
        <f aca="false">A34+1</f>
        <v>17</v>
      </c>
      <c r="B35" s="186" t="s">
        <v>334</v>
      </c>
      <c r="C35" s="186"/>
      <c r="D35" s="186"/>
      <c r="E35" s="186"/>
      <c r="F35" s="186"/>
      <c r="G35" s="178" t="n">
        <v>1</v>
      </c>
      <c r="H35" s="178" t="n">
        <v>20000</v>
      </c>
      <c r="I35" s="187" t="n">
        <f aca="false">G35*H35</f>
        <v>20000</v>
      </c>
      <c r="J35" s="45"/>
      <c r="K35" s="45"/>
      <c r="L35" s="45"/>
      <c r="M35" s="45"/>
      <c r="N35" s="45"/>
      <c r="O35" s="45"/>
      <c r="P35" s="45"/>
      <c r="Q35" s="45"/>
      <c r="R35" s="45"/>
      <c r="S35" s="45"/>
      <c r="T35" s="45"/>
      <c r="U35" s="45"/>
      <c r="V35" s="45"/>
      <c r="W35" s="45"/>
      <c r="X35" s="45"/>
      <c r="Y35" s="162"/>
      <c r="Z35" s="162"/>
    </row>
    <row r="36" customFormat="false" ht="16.5" hidden="false" customHeight="true" outlineLevel="0" collapsed="false">
      <c r="A36" s="63" t="n">
        <f aca="false">A35+1</f>
        <v>18</v>
      </c>
      <c r="B36" s="186" t="s">
        <v>335</v>
      </c>
      <c r="C36" s="186"/>
      <c r="D36" s="186"/>
      <c r="E36" s="186"/>
      <c r="F36" s="186"/>
      <c r="G36" s="178" t="n">
        <v>5</v>
      </c>
      <c r="H36" s="178" t="n">
        <v>200</v>
      </c>
      <c r="I36" s="187" t="n">
        <f aca="false">G36*H36</f>
        <v>1000</v>
      </c>
      <c r="J36" s="45"/>
      <c r="K36" s="45"/>
      <c r="L36" s="45"/>
      <c r="M36" s="45"/>
      <c r="N36" s="45"/>
      <c r="O36" s="45"/>
      <c r="P36" s="45"/>
      <c r="Q36" s="45"/>
      <c r="R36" s="45"/>
      <c r="S36" s="45"/>
      <c r="T36" s="45"/>
      <c r="U36" s="45"/>
      <c r="V36" s="45"/>
      <c r="W36" s="45"/>
      <c r="X36" s="45"/>
      <c r="Y36" s="162"/>
      <c r="Z36" s="162"/>
    </row>
    <row r="37" customFormat="false" ht="16.5" hidden="false" customHeight="true" outlineLevel="0" collapsed="false">
      <c r="A37" s="63" t="n">
        <f aca="false">A36+1</f>
        <v>19</v>
      </c>
      <c r="B37" s="186" t="s">
        <v>336</v>
      </c>
      <c r="C37" s="186"/>
      <c r="D37" s="186"/>
      <c r="E37" s="186"/>
      <c r="F37" s="186"/>
      <c r="G37" s="71" t="n">
        <v>10</v>
      </c>
      <c r="H37" s="71" t="n">
        <v>15000</v>
      </c>
      <c r="I37" s="190" t="n">
        <f aca="false">G37*H37</f>
        <v>150000</v>
      </c>
      <c r="J37" s="45"/>
      <c r="K37" s="45"/>
      <c r="L37" s="45"/>
      <c r="M37" s="45"/>
      <c r="N37" s="45"/>
      <c r="O37" s="45"/>
      <c r="P37" s="45"/>
      <c r="Q37" s="45"/>
      <c r="R37" s="45"/>
      <c r="S37" s="45"/>
      <c r="T37" s="45"/>
      <c r="U37" s="45"/>
      <c r="V37" s="45"/>
      <c r="W37" s="45"/>
      <c r="X37" s="45"/>
      <c r="Y37" s="162"/>
      <c r="Z37" s="162"/>
    </row>
    <row r="38" customFormat="false" ht="16.5" hidden="false" customHeight="true" outlineLevel="0" collapsed="false">
      <c r="A38" s="63" t="n">
        <f aca="false">A37+1</f>
        <v>20</v>
      </c>
      <c r="B38" s="186" t="s">
        <v>337</v>
      </c>
      <c r="C38" s="186"/>
      <c r="D38" s="186"/>
      <c r="E38" s="186"/>
      <c r="F38" s="186"/>
      <c r="G38" s="71" t="n">
        <v>5</v>
      </c>
      <c r="H38" s="71" t="n">
        <v>5000</v>
      </c>
      <c r="I38" s="190" t="n">
        <f aca="false">G38*H38</f>
        <v>25000</v>
      </c>
      <c r="J38" s="45"/>
      <c r="K38" s="45"/>
      <c r="L38" s="45"/>
      <c r="M38" s="45"/>
      <c r="N38" s="45"/>
      <c r="O38" s="45"/>
      <c r="P38" s="45"/>
      <c r="Q38" s="45"/>
      <c r="R38" s="45"/>
      <c r="S38" s="45"/>
      <c r="T38" s="45"/>
      <c r="U38" s="45"/>
      <c r="V38" s="45"/>
      <c r="W38" s="45"/>
      <c r="X38" s="45"/>
      <c r="Y38" s="162"/>
      <c r="Z38" s="162"/>
    </row>
    <row r="39" customFormat="false" ht="16.5" hidden="false" customHeight="true" outlineLevel="0" collapsed="false">
      <c r="A39" s="162"/>
      <c r="B39" s="63"/>
      <c r="C39" s="63"/>
      <c r="D39" s="63"/>
      <c r="E39" s="63"/>
      <c r="F39" s="63"/>
      <c r="G39" s="71"/>
      <c r="H39" s="71"/>
      <c r="I39" s="66" t="n">
        <f aca="false">G39*H39</f>
        <v>0</v>
      </c>
      <c r="J39" s="45"/>
      <c r="K39" s="45"/>
      <c r="L39" s="45"/>
      <c r="M39" s="45"/>
      <c r="N39" s="45"/>
      <c r="O39" s="45"/>
      <c r="P39" s="45"/>
      <c r="Q39" s="45"/>
      <c r="R39" s="45"/>
      <c r="S39" s="45"/>
      <c r="T39" s="45"/>
      <c r="U39" s="45"/>
      <c r="V39" s="45"/>
      <c r="W39" s="45"/>
      <c r="X39" s="45"/>
      <c r="Y39" s="162"/>
      <c r="Z39" s="162"/>
    </row>
    <row r="40" customFormat="false" ht="16.5" hidden="false" customHeight="true" outlineLevel="0" collapsed="false">
      <c r="A40" s="182" t="s">
        <v>15</v>
      </c>
      <c r="B40" s="182"/>
      <c r="C40" s="182"/>
      <c r="D40" s="182"/>
      <c r="E40" s="182"/>
      <c r="F40" s="182"/>
      <c r="G40" s="182"/>
      <c r="H40" s="182"/>
      <c r="I40" s="66" t="n">
        <f aca="false">SUM(I19:I39)</f>
        <v>2261000</v>
      </c>
      <c r="J40" s="45"/>
      <c r="K40" s="45"/>
      <c r="L40" s="45"/>
      <c r="M40" s="45"/>
      <c r="N40" s="45"/>
      <c r="O40" s="45"/>
      <c r="P40" s="45"/>
      <c r="Q40" s="45"/>
      <c r="R40" s="45"/>
      <c r="S40" s="45"/>
      <c r="T40" s="45"/>
      <c r="U40" s="45"/>
      <c r="V40" s="45"/>
      <c r="W40" s="45"/>
      <c r="X40" s="45"/>
      <c r="Y40" s="162"/>
      <c r="Z40" s="162"/>
    </row>
    <row r="41" customFormat="false" ht="16.5" hidden="false" customHeight="true" outlineLevel="0" collapsed="false">
      <c r="A41" s="45"/>
      <c r="B41" s="45"/>
      <c r="C41" s="45"/>
      <c r="D41" s="45"/>
      <c r="E41" s="45"/>
      <c r="F41" s="45"/>
      <c r="G41" s="45"/>
      <c r="H41" s="45"/>
      <c r="I41" s="45"/>
      <c r="J41" s="45"/>
      <c r="K41" s="45"/>
      <c r="L41" s="45"/>
      <c r="M41" s="45"/>
      <c r="N41" s="45"/>
      <c r="O41" s="45"/>
      <c r="P41" s="45"/>
      <c r="Q41" s="45"/>
      <c r="R41" s="45"/>
      <c r="S41" s="45"/>
      <c r="T41" s="45"/>
      <c r="U41" s="45"/>
      <c r="V41" s="45"/>
      <c r="W41" s="45"/>
      <c r="X41" s="45"/>
      <c r="Y41" s="162"/>
      <c r="Z41" s="162"/>
    </row>
    <row r="42" customFormat="false" ht="16.5" hidden="false" customHeight="true" outlineLevel="0" collapsed="false">
      <c r="A42" s="45"/>
      <c r="B42" s="45"/>
      <c r="C42" s="45"/>
      <c r="D42" s="45"/>
      <c r="E42" s="45"/>
      <c r="F42" s="45"/>
      <c r="G42" s="45"/>
      <c r="H42" s="45"/>
      <c r="I42" s="45"/>
      <c r="J42" s="45"/>
      <c r="K42" s="45"/>
      <c r="L42" s="45"/>
      <c r="M42" s="45"/>
      <c r="N42" s="45"/>
      <c r="O42" s="45"/>
      <c r="P42" s="45"/>
      <c r="Q42" s="45"/>
      <c r="R42" s="45"/>
      <c r="S42" s="45"/>
      <c r="T42" s="45"/>
      <c r="U42" s="45"/>
      <c r="V42" s="45"/>
      <c r="W42" s="45"/>
      <c r="X42" s="45"/>
      <c r="Y42" s="162"/>
      <c r="Z42" s="162"/>
    </row>
    <row r="43" customFormat="false" ht="16.5" hidden="false" customHeight="true" outlineLevel="0" collapsed="false">
      <c r="A43" s="45"/>
      <c r="B43" s="45"/>
      <c r="C43" s="45"/>
      <c r="D43" s="45"/>
      <c r="E43" s="45"/>
      <c r="F43" s="45"/>
      <c r="G43" s="45"/>
      <c r="H43" s="45"/>
      <c r="I43" s="45"/>
      <c r="J43" s="45"/>
      <c r="K43" s="45"/>
      <c r="L43" s="45"/>
      <c r="M43" s="45"/>
      <c r="N43" s="45"/>
      <c r="O43" s="45"/>
      <c r="P43" s="45"/>
      <c r="Q43" s="45"/>
      <c r="R43" s="45"/>
      <c r="S43" s="45"/>
      <c r="T43" s="45"/>
      <c r="U43" s="45"/>
      <c r="V43" s="45"/>
      <c r="W43" s="45"/>
      <c r="X43" s="45"/>
      <c r="Y43" s="162"/>
      <c r="Z43" s="162"/>
    </row>
    <row r="44" customFormat="false" ht="16.5" hidden="false" customHeight="true" outlineLevel="0" collapsed="false">
      <c r="A44" s="45"/>
      <c r="B44" s="45"/>
      <c r="C44" s="45"/>
      <c r="D44" s="45"/>
      <c r="E44" s="45"/>
      <c r="F44" s="45"/>
      <c r="G44" s="45"/>
      <c r="H44" s="45"/>
      <c r="I44" s="45"/>
      <c r="J44" s="45"/>
      <c r="K44" s="45"/>
      <c r="L44" s="45"/>
      <c r="M44" s="45"/>
      <c r="N44" s="45"/>
      <c r="O44" s="45"/>
      <c r="P44" s="45"/>
      <c r="Q44" s="45"/>
      <c r="R44" s="45"/>
      <c r="S44" s="45"/>
      <c r="T44" s="45"/>
      <c r="U44" s="45"/>
      <c r="V44" s="45"/>
      <c r="W44" s="45"/>
      <c r="X44" s="45"/>
      <c r="Y44" s="162"/>
      <c r="Z44" s="162"/>
    </row>
    <row r="45" customFormat="false" ht="16.5" hidden="false" customHeight="true" outlineLevel="0" collapsed="false">
      <c r="A45" s="45"/>
      <c r="B45" s="45"/>
      <c r="C45" s="45"/>
      <c r="D45" s="45"/>
      <c r="E45" s="45"/>
      <c r="F45" s="45"/>
      <c r="G45" s="45"/>
      <c r="H45" s="45"/>
      <c r="I45" s="45"/>
      <c r="J45" s="45"/>
      <c r="K45" s="45"/>
      <c r="L45" s="45"/>
      <c r="M45" s="45"/>
      <c r="N45" s="45"/>
      <c r="O45" s="45"/>
      <c r="P45" s="45"/>
      <c r="Q45" s="45"/>
      <c r="R45" s="45"/>
      <c r="S45" s="45"/>
      <c r="T45" s="45"/>
      <c r="U45" s="45"/>
      <c r="V45" s="45"/>
      <c r="W45" s="45"/>
      <c r="X45" s="45"/>
      <c r="Y45" s="162"/>
      <c r="Z45" s="162"/>
    </row>
    <row r="46" customFormat="false" ht="16.5" hidden="false" customHeight="true" outlineLevel="0" collapsed="false">
      <c r="A46" s="45"/>
      <c r="B46" s="45"/>
      <c r="C46" s="45"/>
      <c r="D46" s="45"/>
      <c r="E46" s="45"/>
      <c r="F46" s="45"/>
      <c r="G46" s="45"/>
      <c r="H46" s="45"/>
      <c r="I46" s="45"/>
      <c r="J46" s="45"/>
      <c r="K46" s="45"/>
      <c r="L46" s="45"/>
      <c r="M46" s="45"/>
      <c r="N46" s="45"/>
      <c r="O46" s="45"/>
      <c r="P46" s="45"/>
      <c r="Q46" s="45"/>
      <c r="R46" s="45"/>
      <c r="S46" s="45"/>
      <c r="T46" s="45"/>
      <c r="U46" s="45"/>
      <c r="V46" s="45"/>
      <c r="W46" s="45"/>
      <c r="X46" s="45"/>
      <c r="Y46" s="162"/>
      <c r="Z46" s="162"/>
    </row>
    <row r="47" customFormat="false" ht="16.5" hidden="false" customHeight="true" outlineLevel="0" collapsed="false">
      <c r="A47" s="45"/>
      <c r="B47" s="45"/>
      <c r="C47" s="45"/>
      <c r="D47" s="45"/>
      <c r="E47" s="45"/>
      <c r="F47" s="45"/>
      <c r="G47" s="45"/>
      <c r="H47" s="45"/>
      <c r="I47" s="45"/>
      <c r="J47" s="45"/>
      <c r="K47" s="45"/>
      <c r="L47" s="45"/>
      <c r="M47" s="45"/>
      <c r="N47" s="45"/>
      <c r="O47" s="45"/>
      <c r="P47" s="45"/>
      <c r="Q47" s="45"/>
      <c r="R47" s="45"/>
      <c r="S47" s="45"/>
      <c r="T47" s="45"/>
      <c r="U47" s="45"/>
      <c r="V47" s="45"/>
      <c r="W47" s="45"/>
      <c r="X47" s="45"/>
      <c r="Y47" s="162"/>
      <c r="Z47" s="162"/>
    </row>
    <row r="48" customFormat="false" ht="16.5" hidden="false" customHeight="true" outlineLevel="0" collapsed="false">
      <c r="A48" s="45"/>
      <c r="B48" s="45"/>
      <c r="C48" s="45"/>
      <c r="D48" s="45"/>
      <c r="E48" s="45"/>
      <c r="F48" s="45"/>
      <c r="G48" s="45"/>
      <c r="H48" s="45"/>
      <c r="I48" s="45"/>
      <c r="J48" s="45"/>
      <c r="K48" s="45"/>
      <c r="L48" s="45"/>
      <c r="M48" s="45"/>
      <c r="N48" s="45"/>
      <c r="O48" s="45"/>
      <c r="P48" s="45"/>
      <c r="Q48" s="45"/>
      <c r="R48" s="45"/>
      <c r="S48" s="45"/>
      <c r="T48" s="45"/>
      <c r="U48" s="45"/>
      <c r="V48" s="45"/>
      <c r="W48" s="45"/>
      <c r="X48" s="45"/>
      <c r="Y48" s="162"/>
      <c r="Z48" s="162"/>
    </row>
    <row r="49" customFormat="false" ht="16.5" hidden="false" customHeight="true" outlineLevel="0" collapsed="false">
      <c r="A49" s="45"/>
      <c r="B49" s="45"/>
      <c r="C49" s="45"/>
      <c r="D49" s="45"/>
      <c r="E49" s="45"/>
      <c r="F49" s="45"/>
      <c r="G49" s="45"/>
      <c r="H49" s="45"/>
      <c r="I49" s="45"/>
      <c r="J49" s="45"/>
      <c r="K49" s="45"/>
      <c r="L49" s="45"/>
      <c r="M49" s="45"/>
      <c r="N49" s="45"/>
      <c r="O49" s="45"/>
      <c r="P49" s="45"/>
      <c r="Q49" s="45"/>
      <c r="R49" s="45"/>
      <c r="S49" s="45"/>
      <c r="T49" s="45"/>
      <c r="U49" s="45"/>
      <c r="V49" s="45"/>
      <c r="W49" s="45"/>
      <c r="X49" s="45"/>
      <c r="Y49" s="162"/>
      <c r="Z49" s="162"/>
    </row>
    <row r="50" customFormat="false" ht="16.5" hidden="false" customHeight="true" outlineLevel="0" collapsed="false">
      <c r="A50" s="45"/>
      <c r="B50" s="45"/>
      <c r="C50" s="45"/>
      <c r="D50" s="45"/>
      <c r="E50" s="45"/>
      <c r="F50" s="45"/>
      <c r="G50" s="45"/>
      <c r="H50" s="45"/>
      <c r="I50" s="45"/>
      <c r="J50" s="45"/>
      <c r="K50" s="45"/>
      <c r="L50" s="45"/>
      <c r="M50" s="45"/>
      <c r="N50" s="45"/>
      <c r="O50" s="45"/>
      <c r="P50" s="45"/>
      <c r="Q50" s="45"/>
      <c r="R50" s="45"/>
      <c r="S50" s="45"/>
      <c r="T50" s="45"/>
      <c r="U50" s="45"/>
      <c r="V50" s="45"/>
      <c r="W50" s="45"/>
      <c r="X50" s="45"/>
      <c r="Y50" s="162"/>
      <c r="Z50" s="162"/>
    </row>
    <row r="51" customFormat="false" ht="16.5" hidden="false" customHeight="true" outlineLevel="0" collapsed="false">
      <c r="A51" s="45"/>
      <c r="B51" s="45"/>
      <c r="C51" s="45"/>
      <c r="D51" s="45"/>
      <c r="E51" s="45"/>
      <c r="F51" s="45"/>
      <c r="G51" s="45"/>
      <c r="H51" s="45"/>
      <c r="I51" s="45"/>
      <c r="J51" s="45"/>
      <c r="K51" s="45"/>
      <c r="L51" s="45"/>
      <c r="M51" s="45"/>
      <c r="N51" s="45"/>
      <c r="O51" s="45"/>
      <c r="P51" s="45"/>
      <c r="Q51" s="45"/>
      <c r="R51" s="45"/>
      <c r="S51" s="45"/>
      <c r="T51" s="45"/>
      <c r="U51" s="45"/>
      <c r="V51" s="45"/>
      <c r="W51" s="45"/>
      <c r="X51" s="45"/>
      <c r="Y51" s="162"/>
      <c r="Z51" s="162"/>
    </row>
    <row r="52" customFormat="false" ht="16.5" hidden="false" customHeight="true" outlineLevel="0" collapsed="false">
      <c r="A52" s="45"/>
      <c r="B52" s="45"/>
      <c r="C52" s="45"/>
      <c r="D52" s="45"/>
      <c r="E52" s="45"/>
      <c r="F52" s="45"/>
      <c r="G52" s="45"/>
      <c r="H52" s="45"/>
      <c r="I52" s="45"/>
      <c r="J52" s="45"/>
      <c r="K52" s="45"/>
      <c r="L52" s="45"/>
      <c r="M52" s="45"/>
      <c r="N52" s="45"/>
      <c r="O52" s="45"/>
      <c r="P52" s="45"/>
      <c r="Q52" s="45"/>
      <c r="R52" s="45"/>
      <c r="S52" s="45"/>
      <c r="T52" s="45"/>
      <c r="U52" s="45"/>
      <c r="V52" s="45"/>
      <c r="W52" s="45"/>
      <c r="X52" s="45"/>
      <c r="Y52" s="162"/>
      <c r="Z52" s="162"/>
    </row>
    <row r="53" customFormat="false" ht="16.5" hidden="false" customHeight="true" outlineLevel="0" collapsed="false">
      <c r="A53" s="45"/>
      <c r="B53" s="45"/>
      <c r="C53" s="45"/>
      <c r="D53" s="45"/>
      <c r="E53" s="45"/>
      <c r="F53" s="45"/>
      <c r="G53" s="45"/>
      <c r="H53" s="45"/>
      <c r="I53" s="45"/>
      <c r="J53" s="45"/>
      <c r="K53" s="45"/>
      <c r="L53" s="45"/>
      <c r="M53" s="45"/>
      <c r="N53" s="45"/>
      <c r="O53" s="45"/>
      <c r="P53" s="45"/>
      <c r="Q53" s="45"/>
      <c r="R53" s="45"/>
      <c r="S53" s="45"/>
      <c r="T53" s="45"/>
      <c r="U53" s="45"/>
      <c r="V53" s="45"/>
      <c r="W53" s="45"/>
      <c r="X53" s="45"/>
      <c r="Y53" s="162"/>
      <c r="Z53" s="162"/>
    </row>
    <row r="54" customFormat="false" ht="16.5" hidden="false" customHeight="true" outlineLevel="0" collapsed="false">
      <c r="A54" s="45"/>
      <c r="B54" s="45"/>
      <c r="C54" s="45"/>
      <c r="D54" s="45"/>
      <c r="E54" s="45"/>
      <c r="F54" s="45"/>
      <c r="G54" s="45"/>
      <c r="H54" s="45"/>
      <c r="I54" s="45"/>
      <c r="J54" s="45"/>
      <c r="K54" s="45"/>
      <c r="L54" s="45"/>
      <c r="M54" s="45"/>
      <c r="N54" s="45"/>
      <c r="O54" s="45"/>
      <c r="P54" s="45"/>
      <c r="Q54" s="45"/>
      <c r="R54" s="45"/>
      <c r="S54" s="45"/>
      <c r="T54" s="45"/>
      <c r="U54" s="45"/>
      <c r="V54" s="45"/>
      <c r="W54" s="45"/>
      <c r="X54" s="45"/>
      <c r="Y54" s="162"/>
      <c r="Z54" s="162"/>
    </row>
    <row r="55" customFormat="false" ht="16.5" hidden="false" customHeight="true" outlineLevel="0" collapsed="false">
      <c r="A55" s="45"/>
      <c r="B55" s="45"/>
      <c r="C55" s="45"/>
      <c r="D55" s="45"/>
      <c r="E55" s="45"/>
      <c r="F55" s="45"/>
      <c r="G55" s="45"/>
      <c r="H55" s="45"/>
      <c r="I55" s="45"/>
      <c r="J55" s="45"/>
      <c r="K55" s="45"/>
      <c r="L55" s="45"/>
      <c r="M55" s="45"/>
      <c r="N55" s="45"/>
      <c r="O55" s="45"/>
      <c r="P55" s="45"/>
      <c r="Q55" s="45"/>
      <c r="R55" s="45"/>
      <c r="S55" s="45"/>
      <c r="T55" s="45"/>
      <c r="U55" s="45"/>
      <c r="V55" s="45"/>
      <c r="W55" s="45"/>
      <c r="X55" s="45"/>
      <c r="Y55" s="162"/>
      <c r="Z55" s="162"/>
    </row>
    <row r="56" customFormat="false" ht="16.5" hidden="false" customHeight="true" outlineLevel="0" collapsed="false">
      <c r="A56" s="45"/>
      <c r="B56" s="45"/>
      <c r="C56" s="45"/>
      <c r="D56" s="45"/>
      <c r="E56" s="45"/>
      <c r="F56" s="45"/>
      <c r="G56" s="45"/>
      <c r="H56" s="45"/>
      <c r="I56" s="45"/>
      <c r="J56" s="45"/>
      <c r="K56" s="45"/>
      <c r="L56" s="45"/>
      <c r="M56" s="45"/>
      <c r="N56" s="45"/>
      <c r="O56" s="45"/>
      <c r="P56" s="45"/>
      <c r="Q56" s="45"/>
      <c r="R56" s="45"/>
      <c r="S56" s="45"/>
      <c r="T56" s="45"/>
      <c r="U56" s="45"/>
      <c r="V56" s="45"/>
      <c r="W56" s="45"/>
      <c r="X56" s="45"/>
      <c r="Y56" s="162"/>
      <c r="Z56" s="162"/>
    </row>
    <row r="57" customFormat="false" ht="16.5" hidden="false" customHeight="true" outlineLevel="0" collapsed="false">
      <c r="A57" s="45"/>
      <c r="B57" s="45"/>
      <c r="C57" s="45"/>
      <c r="D57" s="45"/>
      <c r="E57" s="45"/>
      <c r="F57" s="45"/>
      <c r="G57" s="45"/>
      <c r="H57" s="45"/>
      <c r="I57" s="45"/>
      <c r="J57" s="45"/>
      <c r="K57" s="45"/>
      <c r="L57" s="45"/>
      <c r="M57" s="45"/>
      <c r="N57" s="45"/>
      <c r="O57" s="45"/>
      <c r="P57" s="45"/>
      <c r="Q57" s="45"/>
      <c r="R57" s="45"/>
      <c r="S57" s="45"/>
      <c r="T57" s="45"/>
      <c r="U57" s="45"/>
      <c r="V57" s="45"/>
      <c r="W57" s="45"/>
      <c r="X57" s="45"/>
      <c r="Y57" s="162"/>
      <c r="Z57" s="162"/>
    </row>
    <row r="58" customFormat="false" ht="16.5" hidden="false" customHeight="true" outlineLevel="0" collapsed="false">
      <c r="A58" s="45"/>
      <c r="B58" s="45"/>
      <c r="C58" s="45"/>
      <c r="D58" s="45"/>
      <c r="E58" s="45"/>
      <c r="F58" s="45"/>
      <c r="G58" s="45"/>
      <c r="H58" s="45"/>
      <c r="I58" s="45"/>
      <c r="J58" s="45"/>
      <c r="K58" s="45"/>
      <c r="L58" s="45"/>
      <c r="M58" s="45"/>
      <c r="N58" s="45"/>
      <c r="O58" s="45"/>
      <c r="P58" s="45"/>
      <c r="Q58" s="45"/>
      <c r="R58" s="45"/>
      <c r="S58" s="45"/>
      <c r="T58" s="45"/>
      <c r="U58" s="45"/>
      <c r="V58" s="45"/>
      <c r="W58" s="45"/>
      <c r="X58" s="45"/>
      <c r="Y58" s="162"/>
      <c r="Z58" s="162"/>
    </row>
    <row r="59" customFormat="false" ht="16.5" hidden="false" customHeight="true" outlineLevel="0" collapsed="false">
      <c r="A59" s="45"/>
      <c r="B59" s="45"/>
      <c r="C59" s="45"/>
      <c r="D59" s="45"/>
      <c r="E59" s="45"/>
      <c r="F59" s="45"/>
      <c r="G59" s="45"/>
      <c r="H59" s="45"/>
      <c r="I59" s="45"/>
      <c r="J59" s="45"/>
      <c r="K59" s="45"/>
      <c r="L59" s="45"/>
      <c r="M59" s="45"/>
      <c r="N59" s="45"/>
      <c r="O59" s="45"/>
      <c r="P59" s="45"/>
      <c r="Q59" s="45"/>
      <c r="R59" s="45"/>
      <c r="S59" s="45"/>
      <c r="T59" s="45"/>
      <c r="U59" s="45"/>
      <c r="V59" s="45"/>
      <c r="W59" s="45"/>
      <c r="X59" s="45"/>
      <c r="Y59" s="162"/>
      <c r="Z59" s="162"/>
    </row>
    <row r="60" customFormat="false" ht="16.5" hidden="false" customHeight="true" outlineLevel="0" collapsed="false">
      <c r="A60" s="45"/>
      <c r="B60" s="45"/>
      <c r="C60" s="45"/>
      <c r="D60" s="45"/>
      <c r="E60" s="45"/>
      <c r="F60" s="45"/>
      <c r="G60" s="45"/>
      <c r="H60" s="45"/>
      <c r="I60" s="45"/>
      <c r="J60" s="45"/>
      <c r="K60" s="45"/>
      <c r="L60" s="45"/>
      <c r="M60" s="45"/>
      <c r="N60" s="45"/>
      <c r="O60" s="45"/>
      <c r="P60" s="45"/>
      <c r="Q60" s="45"/>
      <c r="R60" s="45"/>
      <c r="S60" s="45"/>
      <c r="T60" s="45"/>
      <c r="U60" s="45"/>
      <c r="V60" s="45"/>
      <c r="W60" s="45"/>
      <c r="X60" s="45"/>
      <c r="Y60" s="162"/>
      <c r="Z60" s="162"/>
    </row>
    <row r="61" customFormat="false" ht="16.5" hidden="false" customHeight="true" outlineLevel="0" collapsed="false">
      <c r="A61" s="45"/>
      <c r="B61" s="45"/>
      <c r="C61" s="45"/>
      <c r="D61" s="45"/>
      <c r="E61" s="45"/>
      <c r="F61" s="45"/>
      <c r="G61" s="45"/>
      <c r="H61" s="45"/>
      <c r="I61" s="45"/>
      <c r="J61" s="45"/>
      <c r="K61" s="45"/>
      <c r="L61" s="45"/>
      <c r="M61" s="45"/>
      <c r="N61" s="45"/>
      <c r="O61" s="45"/>
      <c r="P61" s="45"/>
      <c r="Q61" s="45"/>
      <c r="R61" s="45"/>
      <c r="S61" s="45"/>
      <c r="T61" s="45"/>
      <c r="U61" s="45"/>
      <c r="V61" s="45"/>
      <c r="W61" s="45"/>
      <c r="X61" s="45"/>
      <c r="Y61" s="162"/>
      <c r="Z61" s="162"/>
    </row>
    <row r="62" customFormat="false" ht="16.5" hidden="false" customHeight="true" outlineLevel="0" collapsed="false">
      <c r="A62" s="45"/>
      <c r="B62" s="45"/>
      <c r="C62" s="45"/>
      <c r="D62" s="45"/>
      <c r="E62" s="45"/>
      <c r="F62" s="45"/>
      <c r="G62" s="45"/>
      <c r="H62" s="45"/>
      <c r="I62" s="45"/>
      <c r="J62" s="45"/>
      <c r="K62" s="45"/>
      <c r="L62" s="45"/>
      <c r="M62" s="45"/>
      <c r="N62" s="45"/>
      <c r="O62" s="45"/>
      <c r="P62" s="45"/>
      <c r="Q62" s="45"/>
      <c r="R62" s="45"/>
      <c r="S62" s="45"/>
      <c r="T62" s="45"/>
      <c r="U62" s="45"/>
      <c r="V62" s="45"/>
      <c r="W62" s="45"/>
      <c r="X62" s="45"/>
      <c r="Y62" s="162"/>
      <c r="Z62" s="162"/>
    </row>
    <row r="63" customFormat="false" ht="16.5" hidden="false" customHeight="true" outlineLevel="0" collapsed="false">
      <c r="A63" s="45"/>
      <c r="B63" s="45"/>
      <c r="C63" s="45"/>
      <c r="D63" s="45"/>
      <c r="E63" s="45"/>
      <c r="F63" s="45"/>
      <c r="G63" s="45"/>
      <c r="H63" s="45"/>
      <c r="I63" s="45"/>
      <c r="J63" s="45"/>
      <c r="K63" s="45"/>
      <c r="L63" s="45"/>
      <c r="M63" s="45"/>
      <c r="N63" s="45"/>
      <c r="O63" s="45"/>
      <c r="P63" s="45"/>
      <c r="Q63" s="45"/>
      <c r="R63" s="45"/>
      <c r="S63" s="45"/>
      <c r="T63" s="45"/>
      <c r="U63" s="45"/>
      <c r="V63" s="45"/>
      <c r="W63" s="45"/>
      <c r="X63" s="45"/>
      <c r="Y63" s="162"/>
      <c r="Z63" s="162"/>
    </row>
    <row r="64" customFormat="false" ht="16.5" hidden="false" customHeight="true" outlineLevel="0" collapsed="false">
      <c r="A64" s="45"/>
      <c r="B64" s="45"/>
      <c r="C64" s="45"/>
      <c r="D64" s="45"/>
      <c r="E64" s="45"/>
      <c r="F64" s="45"/>
      <c r="G64" s="45"/>
      <c r="H64" s="45"/>
      <c r="I64" s="45"/>
      <c r="J64" s="45"/>
      <c r="K64" s="45"/>
      <c r="L64" s="45"/>
      <c r="M64" s="45"/>
      <c r="N64" s="45"/>
      <c r="O64" s="45"/>
      <c r="P64" s="45"/>
      <c r="Q64" s="45"/>
      <c r="R64" s="45"/>
      <c r="S64" s="45"/>
      <c r="T64" s="45"/>
      <c r="U64" s="45"/>
      <c r="V64" s="45"/>
      <c r="W64" s="45"/>
      <c r="X64" s="45"/>
      <c r="Y64" s="162"/>
      <c r="Z64" s="162"/>
    </row>
    <row r="65" customFormat="false" ht="16.5" hidden="false" customHeight="true" outlineLevel="0" collapsed="false">
      <c r="A65" s="45"/>
      <c r="B65" s="45"/>
      <c r="C65" s="45"/>
      <c r="D65" s="45"/>
      <c r="E65" s="45"/>
      <c r="F65" s="45"/>
      <c r="G65" s="45"/>
      <c r="H65" s="45"/>
      <c r="I65" s="45"/>
      <c r="J65" s="45"/>
      <c r="K65" s="45"/>
      <c r="L65" s="45"/>
      <c r="M65" s="45"/>
      <c r="N65" s="45"/>
      <c r="O65" s="45"/>
      <c r="P65" s="45"/>
      <c r="Q65" s="45"/>
      <c r="R65" s="45"/>
      <c r="S65" s="45"/>
      <c r="T65" s="45"/>
      <c r="U65" s="45"/>
      <c r="V65" s="45"/>
      <c r="W65" s="45"/>
      <c r="X65" s="45"/>
      <c r="Y65" s="162"/>
      <c r="Z65" s="162"/>
    </row>
    <row r="66" customFormat="false" ht="16.5" hidden="false" customHeight="true" outlineLevel="0" collapsed="false">
      <c r="A66" s="45"/>
      <c r="B66" s="45"/>
      <c r="C66" s="45"/>
      <c r="D66" s="45"/>
      <c r="E66" s="45"/>
      <c r="F66" s="45"/>
      <c r="G66" s="45"/>
      <c r="H66" s="45"/>
      <c r="I66" s="45"/>
      <c r="J66" s="45"/>
      <c r="K66" s="45"/>
      <c r="L66" s="45"/>
      <c r="M66" s="45"/>
      <c r="N66" s="45"/>
      <c r="O66" s="45"/>
      <c r="P66" s="45"/>
      <c r="Q66" s="45"/>
      <c r="R66" s="45"/>
      <c r="S66" s="45"/>
      <c r="T66" s="45"/>
      <c r="U66" s="45"/>
      <c r="V66" s="45"/>
      <c r="W66" s="45"/>
      <c r="X66" s="45"/>
      <c r="Y66" s="162"/>
      <c r="Z66" s="162"/>
    </row>
    <row r="67" customFormat="false" ht="16.5" hidden="false" customHeight="true" outlineLevel="0" collapsed="false">
      <c r="A67" s="45"/>
      <c r="B67" s="45"/>
      <c r="C67" s="45"/>
      <c r="D67" s="45"/>
      <c r="E67" s="45"/>
      <c r="F67" s="45"/>
      <c r="G67" s="45"/>
      <c r="H67" s="45"/>
      <c r="I67" s="45"/>
      <c r="J67" s="45"/>
      <c r="K67" s="45"/>
      <c r="L67" s="45"/>
      <c r="M67" s="45"/>
      <c r="N67" s="45"/>
      <c r="O67" s="45"/>
      <c r="P67" s="45"/>
      <c r="Q67" s="45"/>
      <c r="R67" s="45"/>
      <c r="S67" s="45"/>
      <c r="T67" s="45"/>
      <c r="U67" s="45"/>
      <c r="V67" s="45"/>
      <c r="W67" s="45"/>
      <c r="X67" s="45"/>
      <c r="Y67" s="162"/>
      <c r="Z67" s="162"/>
    </row>
    <row r="68" customFormat="false" ht="16.5" hidden="false" customHeight="true" outlineLevel="0" collapsed="false">
      <c r="A68" s="45"/>
      <c r="B68" s="45"/>
      <c r="C68" s="45"/>
      <c r="D68" s="45"/>
      <c r="E68" s="45"/>
      <c r="F68" s="45"/>
      <c r="G68" s="45"/>
      <c r="H68" s="45"/>
      <c r="I68" s="45"/>
      <c r="J68" s="45"/>
      <c r="K68" s="45"/>
      <c r="L68" s="45"/>
      <c r="M68" s="45"/>
      <c r="N68" s="45"/>
      <c r="O68" s="45"/>
      <c r="P68" s="45"/>
      <c r="Q68" s="45"/>
      <c r="R68" s="45"/>
      <c r="S68" s="45"/>
      <c r="T68" s="45"/>
      <c r="U68" s="45"/>
      <c r="V68" s="45"/>
      <c r="W68" s="45"/>
      <c r="X68" s="45"/>
      <c r="Y68" s="162"/>
      <c r="Z68" s="162"/>
    </row>
    <row r="69" customFormat="false" ht="16.5" hidden="false" customHeight="true" outlineLevel="0" collapsed="false">
      <c r="A69" s="45"/>
      <c r="B69" s="45"/>
      <c r="C69" s="45"/>
      <c r="D69" s="45"/>
      <c r="E69" s="45"/>
      <c r="F69" s="45"/>
      <c r="G69" s="45"/>
      <c r="H69" s="45"/>
      <c r="I69" s="45"/>
      <c r="J69" s="45"/>
      <c r="K69" s="45"/>
      <c r="L69" s="45"/>
      <c r="M69" s="45"/>
      <c r="N69" s="45"/>
      <c r="O69" s="45"/>
      <c r="P69" s="45"/>
      <c r="Q69" s="45"/>
      <c r="R69" s="45"/>
      <c r="S69" s="45"/>
      <c r="T69" s="45"/>
      <c r="U69" s="45"/>
      <c r="V69" s="45"/>
      <c r="W69" s="45"/>
      <c r="X69" s="45"/>
      <c r="Y69" s="162"/>
      <c r="Z69" s="162"/>
    </row>
    <row r="70" customFormat="false" ht="16.5" hidden="false" customHeight="true" outlineLevel="0" collapsed="false">
      <c r="A70" s="45"/>
      <c r="B70" s="45"/>
      <c r="C70" s="45"/>
      <c r="D70" s="45"/>
      <c r="E70" s="45"/>
      <c r="F70" s="45"/>
      <c r="G70" s="45"/>
      <c r="H70" s="45"/>
      <c r="I70" s="45"/>
      <c r="J70" s="45"/>
      <c r="K70" s="45"/>
      <c r="L70" s="45"/>
      <c r="M70" s="45"/>
      <c r="N70" s="45"/>
      <c r="O70" s="45"/>
      <c r="P70" s="45"/>
      <c r="Q70" s="45"/>
      <c r="R70" s="45"/>
      <c r="S70" s="45"/>
      <c r="T70" s="45"/>
      <c r="U70" s="45"/>
      <c r="V70" s="45"/>
      <c r="W70" s="45"/>
      <c r="X70" s="45"/>
      <c r="Y70" s="162"/>
      <c r="Z70" s="162"/>
    </row>
    <row r="71" customFormat="false" ht="16.5" hidden="false" customHeight="true" outlineLevel="0" collapsed="false">
      <c r="A71" s="45"/>
      <c r="B71" s="45"/>
      <c r="C71" s="45"/>
      <c r="D71" s="45"/>
      <c r="E71" s="45"/>
      <c r="F71" s="45"/>
      <c r="G71" s="45"/>
      <c r="H71" s="45"/>
      <c r="I71" s="45"/>
      <c r="J71" s="45"/>
      <c r="K71" s="45"/>
      <c r="L71" s="45"/>
      <c r="M71" s="45"/>
      <c r="N71" s="45"/>
      <c r="O71" s="45"/>
      <c r="P71" s="45"/>
      <c r="Q71" s="45"/>
      <c r="R71" s="45"/>
      <c r="S71" s="45"/>
      <c r="T71" s="45"/>
      <c r="U71" s="45"/>
      <c r="V71" s="45"/>
      <c r="W71" s="45"/>
      <c r="X71" s="45"/>
      <c r="Y71" s="162"/>
      <c r="Z71" s="162"/>
    </row>
    <row r="72" customFormat="false" ht="16.5" hidden="false" customHeight="true" outlineLevel="0" collapsed="false">
      <c r="A72" s="45"/>
      <c r="B72" s="45"/>
      <c r="C72" s="45"/>
      <c r="D72" s="45"/>
      <c r="E72" s="45"/>
      <c r="F72" s="45"/>
      <c r="G72" s="45"/>
      <c r="H72" s="45"/>
      <c r="I72" s="45"/>
      <c r="J72" s="45"/>
      <c r="K72" s="45"/>
      <c r="L72" s="45"/>
      <c r="M72" s="45"/>
      <c r="N72" s="45"/>
      <c r="O72" s="45"/>
      <c r="P72" s="45"/>
      <c r="Q72" s="45"/>
      <c r="R72" s="45"/>
      <c r="S72" s="45"/>
      <c r="T72" s="45"/>
      <c r="U72" s="45"/>
      <c r="V72" s="45"/>
      <c r="W72" s="45"/>
      <c r="X72" s="45"/>
      <c r="Y72" s="162"/>
      <c r="Z72" s="162"/>
    </row>
    <row r="73" customFormat="false" ht="16.5" hidden="false" customHeight="true" outlineLevel="0" collapsed="false">
      <c r="A73" s="45"/>
      <c r="B73" s="45"/>
      <c r="C73" s="45"/>
      <c r="D73" s="45"/>
      <c r="E73" s="45"/>
      <c r="F73" s="45"/>
      <c r="G73" s="45"/>
      <c r="H73" s="45"/>
      <c r="I73" s="45"/>
      <c r="J73" s="45"/>
      <c r="K73" s="45"/>
      <c r="L73" s="45"/>
      <c r="M73" s="45"/>
      <c r="N73" s="45"/>
      <c r="O73" s="45"/>
      <c r="P73" s="45"/>
      <c r="Q73" s="45"/>
      <c r="R73" s="45"/>
      <c r="S73" s="45"/>
      <c r="T73" s="45"/>
      <c r="U73" s="45"/>
      <c r="V73" s="45"/>
      <c r="W73" s="45"/>
      <c r="X73" s="45"/>
      <c r="Y73" s="162"/>
      <c r="Z73" s="162"/>
    </row>
    <row r="74" customFormat="false" ht="16.5" hidden="false" customHeight="true" outlineLevel="0" collapsed="false">
      <c r="A74" s="45"/>
      <c r="B74" s="45"/>
      <c r="C74" s="45"/>
      <c r="D74" s="45"/>
      <c r="E74" s="45"/>
      <c r="F74" s="45"/>
      <c r="G74" s="45"/>
      <c r="H74" s="45"/>
      <c r="I74" s="45"/>
      <c r="J74" s="45"/>
      <c r="K74" s="45"/>
      <c r="L74" s="45"/>
      <c r="M74" s="45"/>
      <c r="N74" s="45"/>
      <c r="O74" s="45"/>
      <c r="P74" s="45"/>
      <c r="Q74" s="45"/>
      <c r="R74" s="45"/>
      <c r="S74" s="45"/>
      <c r="T74" s="45"/>
      <c r="U74" s="45"/>
      <c r="V74" s="45"/>
      <c r="W74" s="45"/>
      <c r="X74" s="45"/>
      <c r="Y74" s="162"/>
      <c r="Z74" s="162"/>
    </row>
    <row r="75" customFormat="false" ht="16.5" hidden="false" customHeight="true" outlineLevel="0" collapsed="false">
      <c r="A75" s="45"/>
      <c r="B75" s="45"/>
      <c r="C75" s="45"/>
      <c r="D75" s="45"/>
      <c r="E75" s="45"/>
      <c r="F75" s="45"/>
      <c r="G75" s="45"/>
      <c r="H75" s="45"/>
      <c r="I75" s="45"/>
      <c r="J75" s="45"/>
      <c r="K75" s="45"/>
      <c r="L75" s="45"/>
      <c r="M75" s="45"/>
      <c r="N75" s="45"/>
      <c r="O75" s="45"/>
      <c r="P75" s="45"/>
      <c r="Q75" s="45"/>
      <c r="R75" s="45"/>
      <c r="S75" s="45"/>
      <c r="T75" s="45"/>
      <c r="U75" s="45"/>
      <c r="V75" s="45"/>
      <c r="W75" s="45"/>
      <c r="X75" s="45"/>
      <c r="Y75" s="162"/>
      <c r="Z75" s="162"/>
    </row>
    <row r="76" customFormat="false" ht="16.5" hidden="false" customHeight="true" outlineLevel="0" collapsed="false">
      <c r="A76" s="45"/>
      <c r="B76" s="45"/>
      <c r="C76" s="45"/>
      <c r="D76" s="45"/>
      <c r="E76" s="45"/>
      <c r="F76" s="45"/>
      <c r="G76" s="45"/>
      <c r="H76" s="45"/>
      <c r="I76" s="45"/>
      <c r="J76" s="45"/>
      <c r="K76" s="45"/>
      <c r="L76" s="45"/>
      <c r="M76" s="45"/>
      <c r="N76" s="45"/>
      <c r="O76" s="45"/>
      <c r="P76" s="45"/>
      <c r="Q76" s="45"/>
      <c r="R76" s="45"/>
      <c r="S76" s="45"/>
      <c r="T76" s="45"/>
      <c r="U76" s="45"/>
      <c r="V76" s="45"/>
      <c r="W76" s="45"/>
      <c r="X76" s="45"/>
      <c r="Y76" s="162"/>
      <c r="Z76" s="162"/>
    </row>
    <row r="77" customFormat="false" ht="16.5" hidden="false" customHeight="true" outlineLevel="0" collapsed="false">
      <c r="A77" s="45"/>
      <c r="B77" s="45"/>
      <c r="C77" s="45"/>
      <c r="D77" s="45"/>
      <c r="E77" s="45"/>
      <c r="F77" s="45"/>
      <c r="G77" s="45"/>
      <c r="H77" s="45"/>
      <c r="I77" s="45"/>
      <c r="J77" s="45"/>
      <c r="K77" s="45"/>
      <c r="L77" s="45"/>
      <c r="M77" s="45"/>
      <c r="N77" s="45"/>
      <c r="O77" s="45"/>
      <c r="P77" s="45"/>
      <c r="Q77" s="45"/>
      <c r="R77" s="45"/>
      <c r="S77" s="45"/>
      <c r="T77" s="45"/>
      <c r="U77" s="45"/>
      <c r="V77" s="45"/>
      <c r="W77" s="45"/>
      <c r="X77" s="45"/>
      <c r="Y77" s="162"/>
      <c r="Z77" s="162"/>
    </row>
    <row r="78" customFormat="false" ht="16.5" hidden="false" customHeight="true" outlineLevel="0" collapsed="false">
      <c r="A78" s="45"/>
      <c r="B78" s="45"/>
      <c r="C78" s="45"/>
      <c r="D78" s="45"/>
      <c r="E78" s="45"/>
      <c r="F78" s="45"/>
      <c r="G78" s="45"/>
      <c r="H78" s="45"/>
      <c r="I78" s="45"/>
      <c r="J78" s="45"/>
      <c r="K78" s="45"/>
      <c r="L78" s="45"/>
      <c r="M78" s="45"/>
      <c r="N78" s="45"/>
      <c r="O78" s="45"/>
      <c r="P78" s="45"/>
      <c r="Q78" s="45"/>
      <c r="R78" s="45"/>
      <c r="S78" s="45"/>
      <c r="T78" s="45"/>
      <c r="U78" s="45"/>
      <c r="V78" s="45"/>
      <c r="W78" s="45"/>
      <c r="X78" s="45"/>
      <c r="Y78" s="162"/>
      <c r="Z78" s="162"/>
    </row>
    <row r="79" customFormat="false" ht="16.5" hidden="false" customHeight="true" outlineLevel="0" collapsed="false">
      <c r="A79" s="45"/>
      <c r="B79" s="45"/>
      <c r="C79" s="45"/>
      <c r="D79" s="45"/>
      <c r="E79" s="45"/>
      <c r="F79" s="45"/>
      <c r="G79" s="45"/>
      <c r="H79" s="45"/>
      <c r="I79" s="45"/>
      <c r="J79" s="45"/>
      <c r="K79" s="45"/>
      <c r="L79" s="45"/>
      <c r="M79" s="45"/>
      <c r="N79" s="45"/>
      <c r="O79" s="45"/>
      <c r="P79" s="45"/>
      <c r="Q79" s="45"/>
      <c r="R79" s="45"/>
      <c r="S79" s="45"/>
      <c r="T79" s="45"/>
      <c r="U79" s="45"/>
      <c r="V79" s="45"/>
      <c r="W79" s="45"/>
      <c r="X79" s="45"/>
      <c r="Y79" s="162"/>
      <c r="Z79" s="162"/>
    </row>
    <row r="80" customFormat="false" ht="16.5" hidden="false" customHeight="true" outlineLevel="0" collapsed="false">
      <c r="A80" s="45"/>
      <c r="B80" s="45"/>
      <c r="C80" s="45"/>
      <c r="D80" s="45"/>
      <c r="E80" s="45"/>
      <c r="F80" s="45"/>
      <c r="G80" s="45"/>
      <c r="H80" s="45"/>
      <c r="I80" s="45"/>
      <c r="J80" s="45"/>
      <c r="K80" s="45"/>
      <c r="L80" s="45"/>
      <c r="M80" s="45"/>
      <c r="N80" s="45"/>
      <c r="O80" s="45"/>
      <c r="P80" s="45"/>
      <c r="Q80" s="45"/>
      <c r="R80" s="45"/>
      <c r="S80" s="45"/>
      <c r="T80" s="45"/>
      <c r="U80" s="45"/>
      <c r="V80" s="45"/>
      <c r="W80" s="45"/>
      <c r="X80" s="45"/>
      <c r="Y80" s="162"/>
      <c r="Z80" s="162"/>
    </row>
    <row r="81" customFormat="false" ht="16.5" hidden="false" customHeight="true" outlineLevel="0" collapsed="false">
      <c r="A81" s="45"/>
      <c r="B81" s="45"/>
      <c r="C81" s="45"/>
      <c r="D81" s="45"/>
      <c r="E81" s="45"/>
      <c r="F81" s="45"/>
      <c r="G81" s="45"/>
      <c r="H81" s="45"/>
      <c r="I81" s="45"/>
      <c r="J81" s="45"/>
      <c r="K81" s="45"/>
      <c r="L81" s="45"/>
      <c r="M81" s="45"/>
      <c r="N81" s="45"/>
      <c r="O81" s="45"/>
      <c r="P81" s="45"/>
      <c r="Q81" s="45"/>
      <c r="R81" s="45"/>
      <c r="S81" s="45"/>
      <c r="T81" s="45"/>
      <c r="U81" s="45"/>
      <c r="V81" s="45"/>
      <c r="W81" s="45"/>
      <c r="X81" s="45"/>
      <c r="Y81" s="162"/>
      <c r="Z81" s="162"/>
    </row>
    <row r="82" customFormat="false" ht="16.5" hidden="false" customHeight="true" outlineLevel="0" collapsed="false">
      <c r="A82" s="45"/>
      <c r="B82" s="45"/>
      <c r="C82" s="45"/>
      <c r="D82" s="45"/>
      <c r="E82" s="45"/>
      <c r="F82" s="45"/>
      <c r="G82" s="45"/>
      <c r="H82" s="45"/>
      <c r="I82" s="45"/>
      <c r="J82" s="45"/>
      <c r="K82" s="45"/>
      <c r="L82" s="45"/>
      <c r="M82" s="45"/>
      <c r="N82" s="45"/>
      <c r="O82" s="45"/>
      <c r="P82" s="45"/>
      <c r="Q82" s="45"/>
      <c r="R82" s="45"/>
      <c r="S82" s="45"/>
      <c r="T82" s="45"/>
      <c r="U82" s="45"/>
      <c r="V82" s="45"/>
      <c r="W82" s="45"/>
      <c r="X82" s="45"/>
      <c r="Y82" s="162"/>
      <c r="Z82" s="162"/>
    </row>
    <row r="83" customFormat="false" ht="16.5" hidden="false" customHeight="true" outlineLevel="0" collapsed="false">
      <c r="A83" s="45"/>
      <c r="B83" s="45"/>
      <c r="C83" s="45"/>
      <c r="D83" s="45"/>
      <c r="E83" s="45"/>
      <c r="F83" s="45"/>
      <c r="G83" s="45"/>
      <c r="H83" s="45"/>
      <c r="I83" s="45"/>
      <c r="J83" s="45"/>
      <c r="K83" s="45"/>
      <c r="L83" s="45"/>
      <c r="M83" s="45"/>
      <c r="N83" s="45"/>
      <c r="O83" s="45"/>
      <c r="P83" s="45"/>
      <c r="Q83" s="45"/>
      <c r="R83" s="45"/>
      <c r="S83" s="45"/>
      <c r="T83" s="45"/>
      <c r="U83" s="45"/>
      <c r="V83" s="45"/>
      <c r="W83" s="45"/>
      <c r="X83" s="45"/>
      <c r="Y83" s="162"/>
      <c r="Z83" s="162"/>
    </row>
    <row r="84" customFormat="false" ht="16.5" hidden="false" customHeight="true" outlineLevel="0" collapsed="false">
      <c r="A84" s="45"/>
      <c r="B84" s="45"/>
      <c r="C84" s="45"/>
      <c r="D84" s="45"/>
      <c r="E84" s="45"/>
      <c r="F84" s="45"/>
      <c r="G84" s="45"/>
      <c r="H84" s="45"/>
      <c r="I84" s="45"/>
      <c r="J84" s="45"/>
      <c r="K84" s="45"/>
      <c r="L84" s="45"/>
      <c r="M84" s="45"/>
      <c r="N84" s="45"/>
      <c r="O84" s="45"/>
      <c r="P84" s="45"/>
      <c r="Q84" s="45"/>
      <c r="R84" s="45"/>
      <c r="S84" s="45"/>
      <c r="T84" s="45"/>
      <c r="U84" s="45"/>
      <c r="V84" s="45"/>
      <c r="W84" s="45"/>
      <c r="X84" s="45"/>
      <c r="Y84" s="162"/>
      <c r="Z84" s="162"/>
    </row>
    <row r="85" customFormat="false" ht="16.5" hidden="false" customHeight="true" outlineLevel="0" collapsed="false">
      <c r="A85" s="45"/>
      <c r="B85" s="45"/>
      <c r="C85" s="45"/>
      <c r="D85" s="45"/>
      <c r="E85" s="45"/>
      <c r="F85" s="45"/>
      <c r="G85" s="45"/>
      <c r="H85" s="45"/>
      <c r="I85" s="45"/>
      <c r="J85" s="45"/>
      <c r="K85" s="45"/>
      <c r="L85" s="45"/>
      <c r="M85" s="45"/>
      <c r="N85" s="45"/>
      <c r="O85" s="45"/>
      <c r="P85" s="45"/>
      <c r="Q85" s="45"/>
      <c r="R85" s="45"/>
      <c r="S85" s="45"/>
      <c r="T85" s="45"/>
      <c r="U85" s="45"/>
      <c r="V85" s="45"/>
      <c r="W85" s="45"/>
      <c r="X85" s="45"/>
      <c r="Y85" s="162"/>
      <c r="Z85" s="162"/>
    </row>
    <row r="86" customFormat="false" ht="16.5" hidden="false" customHeight="true" outlineLevel="0" collapsed="false">
      <c r="A86" s="45"/>
      <c r="B86" s="45"/>
      <c r="C86" s="45"/>
      <c r="D86" s="45"/>
      <c r="E86" s="45"/>
      <c r="F86" s="45"/>
      <c r="G86" s="45"/>
      <c r="H86" s="45"/>
      <c r="I86" s="45"/>
      <c r="J86" s="45"/>
      <c r="K86" s="45"/>
      <c r="L86" s="45"/>
      <c r="M86" s="45"/>
      <c r="N86" s="45"/>
      <c r="O86" s="45"/>
      <c r="P86" s="45"/>
      <c r="Q86" s="45"/>
      <c r="R86" s="45"/>
      <c r="S86" s="45"/>
      <c r="T86" s="45"/>
      <c r="U86" s="45"/>
      <c r="V86" s="45"/>
      <c r="W86" s="45"/>
      <c r="X86" s="45"/>
      <c r="Y86" s="162"/>
      <c r="Z86" s="162"/>
    </row>
    <row r="87" customFormat="false" ht="16.5" hidden="false" customHeight="true" outlineLevel="0" collapsed="false">
      <c r="A87" s="45"/>
      <c r="B87" s="45"/>
      <c r="C87" s="45"/>
      <c r="D87" s="45"/>
      <c r="E87" s="45"/>
      <c r="F87" s="45"/>
      <c r="G87" s="45"/>
      <c r="H87" s="45"/>
      <c r="I87" s="45"/>
      <c r="J87" s="45"/>
      <c r="K87" s="45"/>
      <c r="L87" s="45"/>
      <c r="M87" s="45"/>
      <c r="N87" s="45"/>
      <c r="O87" s="45"/>
      <c r="P87" s="45"/>
      <c r="Q87" s="45"/>
      <c r="R87" s="45"/>
      <c r="S87" s="45"/>
      <c r="T87" s="45"/>
      <c r="U87" s="45"/>
      <c r="V87" s="45"/>
      <c r="W87" s="45"/>
      <c r="X87" s="45"/>
      <c r="Y87" s="162"/>
      <c r="Z87" s="162"/>
    </row>
    <row r="88" customFormat="false" ht="16.5" hidden="false" customHeight="true" outlineLevel="0" collapsed="false">
      <c r="A88" s="45"/>
      <c r="B88" s="45"/>
      <c r="C88" s="45"/>
      <c r="D88" s="45"/>
      <c r="E88" s="45"/>
      <c r="F88" s="45"/>
      <c r="G88" s="45"/>
      <c r="H88" s="45"/>
      <c r="I88" s="45"/>
      <c r="J88" s="45"/>
      <c r="K88" s="45"/>
      <c r="L88" s="45"/>
      <c r="M88" s="45"/>
      <c r="N88" s="45"/>
      <c r="O88" s="45"/>
      <c r="P88" s="45"/>
      <c r="Q88" s="45"/>
      <c r="R88" s="45"/>
      <c r="S88" s="45"/>
      <c r="T88" s="45"/>
      <c r="U88" s="45"/>
      <c r="V88" s="45"/>
      <c r="W88" s="45"/>
      <c r="X88" s="45"/>
      <c r="Y88" s="162"/>
      <c r="Z88" s="162"/>
    </row>
    <row r="89" customFormat="false" ht="16.5" hidden="false" customHeight="true" outlineLevel="0" collapsed="false">
      <c r="A89" s="45"/>
      <c r="B89" s="45"/>
      <c r="C89" s="45"/>
      <c r="D89" s="45"/>
      <c r="E89" s="45"/>
      <c r="F89" s="45"/>
      <c r="G89" s="45"/>
      <c r="H89" s="45"/>
      <c r="I89" s="45"/>
      <c r="J89" s="45"/>
      <c r="K89" s="45"/>
      <c r="L89" s="45"/>
      <c r="M89" s="45"/>
      <c r="N89" s="45"/>
      <c r="O89" s="45"/>
      <c r="P89" s="45"/>
      <c r="Q89" s="45"/>
      <c r="R89" s="45"/>
      <c r="S89" s="45"/>
      <c r="T89" s="45"/>
      <c r="U89" s="45"/>
      <c r="V89" s="45"/>
      <c r="W89" s="45"/>
      <c r="X89" s="45"/>
      <c r="Y89" s="162"/>
      <c r="Z89" s="162"/>
    </row>
    <row r="90" customFormat="false" ht="16.5" hidden="false" customHeight="true" outlineLevel="0" collapsed="false">
      <c r="A90" s="45"/>
      <c r="B90" s="45"/>
      <c r="C90" s="45"/>
      <c r="D90" s="45"/>
      <c r="E90" s="45"/>
      <c r="F90" s="45"/>
      <c r="G90" s="45"/>
      <c r="H90" s="45"/>
      <c r="I90" s="45"/>
      <c r="J90" s="45"/>
      <c r="K90" s="45"/>
      <c r="L90" s="45"/>
      <c r="M90" s="45"/>
      <c r="N90" s="45"/>
      <c r="O90" s="45"/>
      <c r="P90" s="45"/>
      <c r="Q90" s="45"/>
      <c r="R90" s="45"/>
      <c r="S90" s="45"/>
      <c r="T90" s="45"/>
      <c r="U90" s="45"/>
      <c r="V90" s="45"/>
      <c r="W90" s="45"/>
      <c r="X90" s="45"/>
      <c r="Y90" s="162"/>
      <c r="Z90" s="162"/>
    </row>
    <row r="91" customFormat="false" ht="16.5" hidden="false" customHeight="true" outlineLevel="0" collapsed="false">
      <c r="A91" s="45"/>
      <c r="B91" s="45"/>
      <c r="C91" s="45"/>
      <c r="D91" s="45"/>
      <c r="E91" s="45"/>
      <c r="F91" s="45"/>
      <c r="G91" s="45"/>
      <c r="H91" s="45"/>
      <c r="I91" s="45"/>
      <c r="J91" s="45"/>
      <c r="K91" s="45"/>
      <c r="L91" s="45"/>
      <c r="M91" s="45"/>
      <c r="N91" s="45"/>
      <c r="O91" s="45"/>
      <c r="P91" s="45"/>
      <c r="Q91" s="45"/>
      <c r="R91" s="45"/>
      <c r="S91" s="45"/>
      <c r="T91" s="45"/>
      <c r="U91" s="45"/>
      <c r="V91" s="45"/>
      <c r="W91" s="45"/>
      <c r="X91" s="45"/>
      <c r="Y91" s="162"/>
      <c r="Z91" s="162"/>
    </row>
    <row r="92" customFormat="false" ht="16.5" hidden="false" customHeight="true" outlineLevel="0" collapsed="false">
      <c r="A92" s="45"/>
      <c r="B92" s="45"/>
      <c r="C92" s="45"/>
      <c r="D92" s="45"/>
      <c r="E92" s="45"/>
      <c r="F92" s="45"/>
      <c r="G92" s="45"/>
      <c r="H92" s="45"/>
      <c r="I92" s="45"/>
      <c r="J92" s="45"/>
      <c r="K92" s="45"/>
      <c r="L92" s="45"/>
      <c r="M92" s="45"/>
      <c r="N92" s="45"/>
      <c r="O92" s="45"/>
      <c r="P92" s="45"/>
      <c r="Q92" s="45"/>
      <c r="R92" s="45"/>
      <c r="S92" s="45"/>
      <c r="T92" s="45"/>
      <c r="U92" s="45"/>
      <c r="V92" s="45"/>
      <c r="W92" s="45"/>
      <c r="X92" s="45"/>
      <c r="Y92" s="162"/>
      <c r="Z92" s="162"/>
    </row>
    <row r="93" customFormat="false" ht="16.5" hidden="false" customHeight="true" outlineLevel="0" collapsed="false">
      <c r="A93" s="45"/>
      <c r="B93" s="45"/>
      <c r="C93" s="45"/>
      <c r="D93" s="45"/>
      <c r="E93" s="45"/>
      <c r="F93" s="45"/>
      <c r="G93" s="45"/>
      <c r="H93" s="45"/>
      <c r="I93" s="45"/>
      <c r="J93" s="45"/>
      <c r="K93" s="45"/>
      <c r="L93" s="45"/>
      <c r="M93" s="45"/>
      <c r="N93" s="45"/>
      <c r="O93" s="45"/>
      <c r="P93" s="45"/>
      <c r="Q93" s="45"/>
      <c r="R93" s="45"/>
      <c r="S93" s="45"/>
      <c r="T93" s="45"/>
      <c r="U93" s="45"/>
      <c r="V93" s="45"/>
      <c r="W93" s="45"/>
      <c r="X93" s="45"/>
      <c r="Y93" s="162"/>
      <c r="Z93" s="162"/>
    </row>
    <row r="94" customFormat="false" ht="16.5" hidden="false" customHeight="true" outlineLevel="0" collapsed="false">
      <c r="A94" s="45"/>
      <c r="B94" s="45"/>
      <c r="C94" s="45"/>
      <c r="D94" s="45"/>
      <c r="E94" s="45"/>
      <c r="F94" s="45"/>
      <c r="G94" s="45"/>
      <c r="H94" s="45"/>
      <c r="I94" s="45"/>
      <c r="J94" s="45"/>
      <c r="K94" s="45"/>
      <c r="L94" s="45"/>
      <c r="M94" s="45"/>
      <c r="N94" s="45"/>
      <c r="O94" s="45"/>
      <c r="P94" s="45"/>
      <c r="Q94" s="45"/>
      <c r="R94" s="45"/>
      <c r="S94" s="45"/>
      <c r="T94" s="45"/>
      <c r="U94" s="45"/>
      <c r="V94" s="45"/>
      <c r="W94" s="45"/>
      <c r="X94" s="45"/>
      <c r="Y94" s="162"/>
      <c r="Z94" s="162"/>
    </row>
    <row r="95" customFormat="false" ht="16.5" hidden="false" customHeight="true" outlineLevel="0" collapsed="false">
      <c r="A95" s="45"/>
      <c r="B95" s="45"/>
      <c r="C95" s="45"/>
      <c r="D95" s="45"/>
      <c r="E95" s="45"/>
      <c r="F95" s="45"/>
      <c r="G95" s="45"/>
      <c r="H95" s="45"/>
      <c r="I95" s="45"/>
      <c r="J95" s="45"/>
      <c r="K95" s="45"/>
      <c r="L95" s="45"/>
      <c r="M95" s="45"/>
      <c r="N95" s="45"/>
      <c r="O95" s="45"/>
      <c r="P95" s="45"/>
      <c r="Q95" s="45"/>
      <c r="R95" s="45"/>
      <c r="S95" s="45"/>
      <c r="T95" s="45"/>
      <c r="U95" s="45"/>
      <c r="V95" s="45"/>
      <c r="W95" s="45"/>
      <c r="X95" s="45"/>
      <c r="Y95" s="162"/>
      <c r="Z95" s="162"/>
    </row>
    <row r="96" customFormat="false" ht="16.5" hidden="false" customHeight="true" outlineLevel="0" collapsed="false">
      <c r="A96" s="45"/>
      <c r="B96" s="45"/>
      <c r="C96" s="45"/>
      <c r="D96" s="45"/>
      <c r="E96" s="45"/>
      <c r="F96" s="45"/>
      <c r="G96" s="45"/>
      <c r="H96" s="45"/>
      <c r="I96" s="45"/>
      <c r="J96" s="45"/>
      <c r="K96" s="45"/>
      <c r="L96" s="45"/>
      <c r="M96" s="45"/>
      <c r="N96" s="45"/>
      <c r="O96" s="45"/>
      <c r="P96" s="45"/>
      <c r="Q96" s="45"/>
      <c r="R96" s="45"/>
      <c r="S96" s="45"/>
      <c r="T96" s="45"/>
      <c r="U96" s="45"/>
      <c r="V96" s="45"/>
      <c r="W96" s="45"/>
      <c r="X96" s="45"/>
      <c r="Y96" s="162"/>
      <c r="Z96" s="162"/>
    </row>
    <row r="97" customFormat="false" ht="16.5" hidden="false" customHeight="true" outlineLevel="0" collapsed="false">
      <c r="A97" s="45"/>
      <c r="B97" s="45"/>
      <c r="C97" s="45"/>
      <c r="D97" s="45"/>
      <c r="E97" s="45"/>
      <c r="F97" s="45"/>
      <c r="G97" s="45"/>
      <c r="H97" s="45"/>
      <c r="I97" s="45"/>
      <c r="J97" s="45"/>
      <c r="K97" s="45"/>
      <c r="L97" s="45"/>
      <c r="M97" s="45"/>
      <c r="N97" s="45"/>
      <c r="O97" s="45"/>
      <c r="P97" s="45"/>
      <c r="Q97" s="45"/>
      <c r="R97" s="45"/>
      <c r="S97" s="45"/>
      <c r="T97" s="45"/>
      <c r="U97" s="45"/>
      <c r="V97" s="45"/>
      <c r="W97" s="45"/>
      <c r="X97" s="45"/>
      <c r="Y97" s="162"/>
      <c r="Z97" s="162"/>
    </row>
    <row r="98" customFormat="false" ht="16.5" hidden="false" customHeight="true" outlineLevel="0" collapsed="false">
      <c r="A98" s="45"/>
      <c r="B98" s="45"/>
      <c r="C98" s="45"/>
      <c r="D98" s="45"/>
      <c r="E98" s="45"/>
      <c r="F98" s="45"/>
      <c r="G98" s="45"/>
      <c r="H98" s="45"/>
      <c r="I98" s="45"/>
      <c r="J98" s="45"/>
      <c r="K98" s="45"/>
      <c r="L98" s="45"/>
      <c r="M98" s="45"/>
      <c r="N98" s="45"/>
      <c r="O98" s="45"/>
      <c r="P98" s="45"/>
      <c r="Q98" s="45"/>
      <c r="R98" s="45"/>
      <c r="S98" s="45"/>
      <c r="T98" s="45"/>
      <c r="U98" s="45"/>
      <c r="V98" s="45"/>
      <c r="W98" s="45"/>
      <c r="X98" s="45"/>
      <c r="Y98" s="162"/>
      <c r="Z98" s="162"/>
    </row>
    <row r="99" customFormat="false" ht="16.5" hidden="false" customHeight="true" outlineLevel="0" collapsed="false">
      <c r="A99" s="45"/>
      <c r="B99" s="45"/>
      <c r="C99" s="45"/>
      <c r="D99" s="45"/>
      <c r="E99" s="45"/>
      <c r="F99" s="45"/>
      <c r="G99" s="45"/>
      <c r="H99" s="45"/>
      <c r="I99" s="45"/>
      <c r="J99" s="45"/>
      <c r="K99" s="45"/>
      <c r="L99" s="45"/>
      <c r="M99" s="45"/>
      <c r="N99" s="45"/>
      <c r="O99" s="45"/>
      <c r="P99" s="45"/>
      <c r="Q99" s="45"/>
      <c r="R99" s="45"/>
      <c r="S99" s="45"/>
      <c r="T99" s="45"/>
      <c r="U99" s="45"/>
      <c r="V99" s="45"/>
      <c r="W99" s="45"/>
      <c r="X99" s="45"/>
      <c r="Y99" s="162"/>
      <c r="Z99" s="162"/>
    </row>
    <row r="100" customFormat="false" ht="16.5" hidden="false" customHeight="true" outlineLevel="0" collapsed="false">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162"/>
      <c r="Z100" s="162"/>
    </row>
    <row r="101" customFormat="false" ht="16.5" hidden="false" customHeight="true" outlineLevel="0" collapsed="false">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162"/>
      <c r="Z101" s="162"/>
    </row>
    <row r="102" customFormat="false" ht="16.5" hidden="false" customHeight="true" outlineLevel="0" collapsed="false">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162"/>
      <c r="Z102" s="162"/>
    </row>
    <row r="103" customFormat="false" ht="16.5" hidden="false" customHeight="true" outlineLevel="0" collapsed="false">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162"/>
      <c r="Z103" s="162"/>
    </row>
    <row r="104" customFormat="false" ht="16.5" hidden="false" customHeight="true" outlineLevel="0" collapsed="false">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162"/>
      <c r="Z104" s="162"/>
    </row>
    <row r="105" customFormat="false" ht="16.5" hidden="false" customHeight="true" outlineLevel="0" collapsed="false">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162"/>
      <c r="Z105" s="162"/>
    </row>
    <row r="106" customFormat="false" ht="16.5" hidden="false" customHeight="true" outlineLevel="0" collapsed="false">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162"/>
      <c r="Z106" s="162"/>
    </row>
    <row r="107" customFormat="false" ht="16.5" hidden="false" customHeight="true" outlineLevel="0" collapsed="false">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162"/>
      <c r="Z107" s="162"/>
    </row>
    <row r="108" customFormat="false" ht="16.5" hidden="false" customHeight="true" outlineLevel="0" collapsed="false">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162"/>
      <c r="Z108" s="162"/>
    </row>
    <row r="109" customFormat="false" ht="16.5" hidden="false" customHeight="true" outlineLevel="0" collapsed="false">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162"/>
      <c r="Z109" s="162"/>
    </row>
    <row r="110" customFormat="false" ht="16.5" hidden="false" customHeight="true" outlineLevel="0" collapsed="false">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162"/>
      <c r="Z110" s="162"/>
    </row>
    <row r="111" customFormat="false" ht="16.5" hidden="false" customHeight="true" outlineLevel="0" collapsed="false">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162"/>
      <c r="Z111" s="162"/>
    </row>
    <row r="112" customFormat="false" ht="16.5" hidden="false" customHeight="true" outlineLevel="0" collapsed="false">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162"/>
      <c r="Z112" s="162"/>
    </row>
    <row r="113" customFormat="false" ht="16.5" hidden="false" customHeight="true" outlineLevel="0" collapsed="false">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162"/>
      <c r="Z113" s="162"/>
    </row>
    <row r="114" customFormat="false" ht="16.5" hidden="false" customHeight="true" outlineLevel="0" collapsed="false">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162"/>
      <c r="Z114" s="162"/>
    </row>
    <row r="115" customFormat="false" ht="16.5" hidden="false" customHeight="true" outlineLevel="0" collapsed="false">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162"/>
      <c r="Z115" s="162"/>
    </row>
    <row r="116" customFormat="false" ht="16.5" hidden="false" customHeight="true" outlineLevel="0" collapsed="false">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162"/>
      <c r="Z116" s="162"/>
    </row>
    <row r="117" customFormat="false" ht="16.5" hidden="false" customHeight="true" outlineLevel="0" collapsed="false">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162"/>
      <c r="Z117" s="162"/>
    </row>
    <row r="118" customFormat="false" ht="16.5" hidden="false" customHeight="true" outlineLevel="0" collapsed="false">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162"/>
      <c r="Z118" s="162"/>
    </row>
    <row r="119" customFormat="false" ht="16.5" hidden="false" customHeight="true" outlineLevel="0" collapsed="false">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162"/>
      <c r="Z119" s="162"/>
    </row>
    <row r="120" customFormat="false" ht="16.5" hidden="false" customHeight="true" outlineLevel="0" collapsed="false">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162"/>
      <c r="Z120" s="162"/>
    </row>
    <row r="121" customFormat="false" ht="16.5" hidden="false" customHeight="true" outlineLevel="0" collapsed="false">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162"/>
      <c r="Z121" s="162"/>
    </row>
    <row r="122" customFormat="false" ht="16.5" hidden="false" customHeight="true" outlineLevel="0" collapsed="false">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162"/>
      <c r="Z122" s="162"/>
    </row>
    <row r="123" customFormat="false" ht="16.5" hidden="false" customHeight="true" outlineLevel="0" collapsed="false">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162"/>
      <c r="Z123" s="162"/>
    </row>
    <row r="124" customFormat="false" ht="16.5" hidden="false" customHeight="true" outlineLevel="0" collapsed="false">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162"/>
      <c r="Z124" s="162"/>
    </row>
    <row r="125" customFormat="false" ht="16.5" hidden="false" customHeight="true" outlineLevel="0" collapsed="false">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162"/>
      <c r="Z125" s="162"/>
    </row>
    <row r="126" customFormat="false" ht="16.5" hidden="false" customHeight="true" outlineLevel="0" collapsed="false">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162"/>
      <c r="Z126" s="162"/>
    </row>
    <row r="127" customFormat="false" ht="16.5" hidden="false" customHeight="true" outlineLevel="0" collapsed="false">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162"/>
      <c r="Z127" s="162"/>
    </row>
    <row r="128" customFormat="false" ht="16.5" hidden="false" customHeight="true" outlineLevel="0" collapsed="false">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162"/>
      <c r="Z128" s="162"/>
    </row>
    <row r="129" customFormat="false" ht="16.5" hidden="false" customHeight="true" outlineLevel="0" collapsed="false">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162"/>
      <c r="Z129" s="162"/>
    </row>
    <row r="130" customFormat="false" ht="16.5" hidden="false" customHeight="true" outlineLevel="0" collapsed="false">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162"/>
      <c r="Z130" s="162"/>
    </row>
    <row r="131" customFormat="false" ht="16.5" hidden="false" customHeight="true" outlineLevel="0" collapsed="false">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162"/>
      <c r="Z131" s="162"/>
    </row>
    <row r="132" customFormat="false" ht="16.5" hidden="false" customHeight="true" outlineLevel="0" collapsed="false">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162"/>
      <c r="Z132" s="162"/>
    </row>
    <row r="133" customFormat="false" ht="16.5" hidden="false" customHeight="true" outlineLevel="0" collapsed="false">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162"/>
      <c r="Z133" s="162"/>
    </row>
    <row r="134" customFormat="false" ht="16.5" hidden="false" customHeight="true" outlineLevel="0" collapsed="false">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162"/>
      <c r="Z134" s="162"/>
    </row>
    <row r="135" customFormat="false" ht="16.5" hidden="false" customHeight="true" outlineLevel="0" collapsed="false">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162"/>
      <c r="Z135" s="162"/>
    </row>
    <row r="136" customFormat="false" ht="16.5" hidden="false" customHeight="true" outlineLevel="0" collapsed="false">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162"/>
      <c r="Z136" s="162"/>
    </row>
    <row r="137" customFormat="false" ht="16.5" hidden="false" customHeight="true" outlineLevel="0" collapsed="false">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162"/>
      <c r="Z137" s="162"/>
    </row>
    <row r="138" customFormat="false" ht="16.5" hidden="false" customHeight="true" outlineLevel="0" collapsed="false">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162"/>
      <c r="Z138" s="162"/>
    </row>
    <row r="139" customFormat="false" ht="16.5" hidden="false" customHeight="true" outlineLevel="0" collapsed="false">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162"/>
      <c r="Z139" s="162"/>
    </row>
    <row r="140" customFormat="false" ht="16.5" hidden="false" customHeight="true" outlineLevel="0" collapsed="false">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162"/>
      <c r="Z140" s="162"/>
    </row>
    <row r="141" customFormat="false" ht="16.5" hidden="false" customHeight="true" outlineLevel="0" collapsed="false">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162"/>
      <c r="Z141" s="162"/>
    </row>
    <row r="142" customFormat="false" ht="16.5" hidden="false" customHeight="true" outlineLevel="0" collapsed="false">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162"/>
      <c r="Z142" s="162"/>
    </row>
    <row r="143" customFormat="false" ht="16.5" hidden="false" customHeight="true" outlineLevel="0" collapsed="false">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162"/>
      <c r="Z143" s="162"/>
    </row>
    <row r="144" customFormat="false" ht="16.5" hidden="false" customHeight="true" outlineLevel="0" collapsed="false">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162"/>
      <c r="Z144" s="162"/>
    </row>
    <row r="145" customFormat="false" ht="16.5" hidden="false" customHeight="true" outlineLevel="0" collapsed="false">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162"/>
      <c r="Z145" s="162"/>
    </row>
    <row r="146" customFormat="false" ht="16.5" hidden="false" customHeight="true" outlineLevel="0" collapsed="false">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162"/>
      <c r="Z146" s="162"/>
    </row>
    <row r="147" customFormat="false" ht="16.5" hidden="false" customHeight="true" outlineLevel="0" collapsed="false">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162"/>
      <c r="Z147" s="162"/>
    </row>
    <row r="148" customFormat="false" ht="16.5" hidden="false" customHeight="true" outlineLevel="0" collapsed="false">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162"/>
      <c r="Z148" s="162"/>
    </row>
    <row r="149" customFormat="false" ht="16.5" hidden="false" customHeight="true" outlineLevel="0" collapsed="false">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162"/>
      <c r="Z149" s="162"/>
    </row>
    <row r="150" customFormat="false" ht="16.5" hidden="false" customHeight="true" outlineLevel="0" collapsed="false">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162"/>
      <c r="Z150" s="162"/>
    </row>
    <row r="151" customFormat="false" ht="16.5" hidden="false" customHeight="true" outlineLevel="0" collapsed="false">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162"/>
      <c r="Z151" s="162"/>
    </row>
    <row r="152" customFormat="false" ht="16.5" hidden="false" customHeight="true" outlineLevel="0" collapsed="false">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162"/>
      <c r="Z152" s="162"/>
    </row>
    <row r="153" customFormat="false" ht="16.5" hidden="false" customHeight="true" outlineLevel="0" collapsed="false">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162"/>
      <c r="Z153" s="162"/>
    </row>
    <row r="154" customFormat="false" ht="16.5" hidden="false" customHeight="true" outlineLevel="0" collapsed="false">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162"/>
      <c r="Z154" s="162"/>
    </row>
    <row r="155" customFormat="false" ht="16.5" hidden="false" customHeight="true" outlineLevel="0" collapsed="false">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162"/>
      <c r="Z155" s="162"/>
    </row>
    <row r="156" customFormat="false" ht="16.5" hidden="false" customHeight="true" outlineLevel="0" collapsed="false">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162"/>
      <c r="Z156" s="162"/>
    </row>
    <row r="157" customFormat="false" ht="16.5" hidden="false" customHeight="true" outlineLevel="0" collapsed="false">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162"/>
      <c r="Z157" s="162"/>
    </row>
    <row r="158" customFormat="false" ht="16.5" hidden="false" customHeight="true" outlineLevel="0" collapsed="false">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162"/>
      <c r="Z158" s="162"/>
    </row>
    <row r="159" customFormat="false" ht="16.5" hidden="false" customHeight="true" outlineLevel="0" collapsed="false">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162"/>
      <c r="Z159" s="162"/>
    </row>
    <row r="160" customFormat="false" ht="16.5" hidden="false" customHeight="true" outlineLevel="0" collapsed="false">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162"/>
      <c r="Z160" s="162"/>
    </row>
    <row r="161" customFormat="false" ht="16.5" hidden="false" customHeight="true" outlineLevel="0" collapsed="false">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162"/>
      <c r="Z161" s="162"/>
    </row>
    <row r="162" customFormat="false" ht="16.5" hidden="false" customHeight="true" outlineLevel="0" collapsed="false">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162"/>
      <c r="Z162" s="162"/>
    </row>
    <row r="163" customFormat="false" ht="16.5" hidden="false" customHeight="true" outlineLevel="0" collapsed="false">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162"/>
      <c r="Z163" s="162"/>
    </row>
    <row r="164" customFormat="false" ht="16.5" hidden="false" customHeight="true" outlineLevel="0" collapsed="false">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162"/>
      <c r="Z164" s="162"/>
    </row>
    <row r="165" customFormat="false" ht="16.5" hidden="false" customHeight="true" outlineLevel="0" collapsed="false">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162"/>
      <c r="Z165" s="162"/>
    </row>
    <row r="166" customFormat="false" ht="16.5" hidden="false" customHeight="true" outlineLevel="0" collapsed="false">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162"/>
      <c r="Z166" s="162"/>
    </row>
    <row r="167" customFormat="false" ht="16.5" hidden="false" customHeight="true" outlineLevel="0" collapsed="false">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162"/>
      <c r="Z167" s="162"/>
    </row>
    <row r="168" customFormat="false" ht="16.5" hidden="false" customHeight="true" outlineLevel="0" collapsed="false">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162"/>
      <c r="Z168" s="162"/>
    </row>
    <row r="169" customFormat="false" ht="16.5" hidden="false" customHeight="true" outlineLevel="0" collapsed="false">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162"/>
      <c r="Z169" s="162"/>
    </row>
    <row r="170" customFormat="false" ht="16.5" hidden="false" customHeight="true" outlineLevel="0" collapsed="false">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162"/>
      <c r="Z170" s="162"/>
    </row>
    <row r="171" customFormat="false" ht="16.5" hidden="false" customHeight="true" outlineLevel="0" collapsed="false">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162"/>
      <c r="Z171" s="162"/>
    </row>
    <row r="172" customFormat="false" ht="16.5" hidden="false" customHeight="true" outlineLevel="0" collapsed="false">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162"/>
      <c r="Z172" s="162"/>
    </row>
    <row r="173" customFormat="false" ht="16.5" hidden="false" customHeight="true" outlineLevel="0" collapsed="false">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162"/>
      <c r="Z173" s="162"/>
    </row>
    <row r="174" customFormat="false" ht="16.5" hidden="false" customHeight="true" outlineLevel="0" collapsed="false">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162"/>
      <c r="Z174" s="162"/>
    </row>
    <row r="175" customFormat="false" ht="16.5" hidden="false" customHeight="true" outlineLevel="0" collapsed="false">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162"/>
      <c r="Z175" s="162"/>
    </row>
    <row r="176" customFormat="false" ht="16.5" hidden="false" customHeight="true" outlineLevel="0" collapsed="false">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162"/>
      <c r="Z176" s="162"/>
    </row>
    <row r="177" customFormat="false" ht="16.5" hidden="false" customHeight="true" outlineLevel="0" collapsed="false">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162"/>
      <c r="Z177" s="162"/>
    </row>
    <row r="178" customFormat="false" ht="16.5" hidden="false" customHeight="true" outlineLevel="0" collapsed="false">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162"/>
      <c r="Z178" s="162"/>
    </row>
    <row r="179" customFormat="false" ht="16.5" hidden="false" customHeight="true" outlineLevel="0" collapsed="false">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162"/>
      <c r="Z179" s="162"/>
    </row>
    <row r="180" customFormat="false" ht="16.5" hidden="false" customHeight="true" outlineLevel="0" collapsed="false">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162"/>
      <c r="Z180" s="162"/>
    </row>
    <row r="181" customFormat="false" ht="16.5" hidden="false" customHeight="true" outlineLevel="0" collapsed="false">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162"/>
      <c r="Z181" s="162"/>
    </row>
    <row r="182" customFormat="false" ht="16.5" hidden="false" customHeight="true" outlineLevel="0" collapsed="false">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162"/>
      <c r="Z182" s="162"/>
    </row>
    <row r="183" customFormat="false" ht="16.5" hidden="false" customHeight="true" outlineLevel="0" collapsed="false">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162"/>
      <c r="Z183" s="162"/>
    </row>
    <row r="184" customFormat="false" ht="16.5" hidden="false" customHeight="true" outlineLevel="0" collapsed="false">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162"/>
      <c r="Z184" s="162"/>
    </row>
    <row r="185" customFormat="false" ht="16.5" hidden="false" customHeight="true" outlineLevel="0" collapsed="false">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162"/>
      <c r="Z185" s="162"/>
    </row>
    <row r="186" customFormat="false" ht="16.5" hidden="false" customHeight="true" outlineLevel="0" collapsed="false">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162"/>
      <c r="Z186" s="162"/>
    </row>
    <row r="187" customFormat="false" ht="16.5" hidden="false" customHeight="true" outlineLevel="0" collapsed="false">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162"/>
      <c r="Z187" s="162"/>
    </row>
    <row r="188" customFormat="false" ht="16.5" hidden="false" customHeight="true" outlineLevel="0" collapsed="false">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162"/>
      <c r="Z188" s="162"/>
    </row>
    <row r="189" customFormat="false" ht="16.5" hidden="false" customHeight="true" outlineLevel="0" collapsed="false">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162"/>
      <c r="Z189" s="162"/>
    </row>
    <row r="190" customFormat="false" ht="16.5" hidden="false" customHeight="true" outlineLevel="0" collapsed="false">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162"/>
      <c r="Z190" s="162"/>
    </row>
    <row r="191" customFormat="false" ht="16.5" hidden="false" customHeight="true" outlineLevel="0" collapsed="false">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162"/>
      <c r="Z191" s="162"/>
    </row>
    <row r="192" customFormat="false" ht="16.5" hidden="false" customHeight="true" outlineLevel="0" collapsed="false">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162"/>
      <c r="Z192" s="162"/>
    </row>
    <row r="193" customFormat="false" ht="16.5" hidden="false" customHeight="true" outlineLevel="0" collapsed="false">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162"/>
      <c r="Z193" s="162"/>
    </row>
    <row r="194" customFormat="false" ht="16.5" hidden="false" customHeight="true" outlineLevel="0" collapsed="false">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162"/>
      <c r="Z194" s="162"/>
    </row>
    <row r="195" customFormat="false" ht="16.5" hidden="false" customHeight="true" outlineLevel="0" collapsed="false">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162"/>
      <c r="Z195" s="162"/>
    </row>
    <row r="196" customFormat="false" ht="16.5" hidden="false" customHeight="true" outlineLevel="0" collapsed="false">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162"/>
      <c r="Z196" s="162"/>
    </row>
    <row r="197" customFormat="false" ht="16.5" hidden="false" customHeight="true" outlineLevel="0" collapsed="false">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162"/>
      <c r="Z197" s="162"/>
    </row>
    <row r="198" customFormat="false" ht="16.5" hidden="false" customHeight="true" outlineLevel="0" collapsed="false">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162"/>
      <c r="Z198" s="162"/>
    </row>
    <row r="199" customFormat="false" ht="16.5" hidden="false" customHeight="true" outlineLevel="0" collapsed="false">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162"/>
      <c r="Z199" s="162"/>
    </row>
    <row r="200" customFormat="false" ht="16.5" hidden="false" customHeight="true" outlineLevel="0" collapsed="false">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162"/>
      <c r="Z200" s="162"/>
    </row>
    <row r="201" customFormat="false" ht="16.5" hidden="false" customHeight="true" outlineLevel="0" collapsed="false">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162"/>
      <c r="Z201" s="162"/>
    </row>
    <row r="202" customFormat="false" ht="16.5" hidden="false" customHeight="true" outlineLevel="0" collapsed="false">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162"/>
      <c r="Z202" s="162"/>
    </row>
    <row r="203" customFormat="false" ht="16.5" hidden="false" customHeight="true" outlineLevel="0" collapsed="false">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162"/>
      <c r="Z203" s="162"/>
    </row>
    <row r="204" customFormat="false" ht="16.5" hidden="false" customHeight="true" outlineLevel="0" collapsed="false">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162"/>
      <c r="Z204" s="162"/>
    </row>
    <row r="205" customFormat="false" ht="16.5" hidden="false" customHeight="true" outlineLevel="0" collapsed="false">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162"/>
      <c r="Z205" s="162"/>
    </row>
    <row r="206" customFormat="false" ht="16.5" hidden="false" customHeight="true" outlineLevel="0" collapsed="false">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162"/>
      <c r="Z206" s="162"/>
    </row>
    <row r="207" customFormat="false" ht="16.5" hidden="false" customHeight="true" outlineLevel="0" collapsed="false">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162"/>
      <c r="Z207" s="162"/>
    </row>
    <row r="208" customFormat="false" ht="16.5" hidden="false" customHeight="true" outlineLevel="0" collapsed="false">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162"/>
      <c r="Z208" s="162"/>
    </row>
    <row r="209" customFormat="false" ht="16.5" hidden="false" customHeight="true" outlineLevel="0" collapsed="false">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162"/>
      <c r="Z209" s="162"/>
    </row>
    <row r="210" customFormat="false" ht="16.5" hidden="false" customHeight="true" outlineLevel="0" collapsed="false">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162"/>
      <c r="Z210" s="162"/>
    </row>
    <row r="211" customFormat="false" ht="16.5" hidden="false" customHeight="true" outlineLevel="0" collapsed="false">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162"/>
      <c r="Z211" s="162"/>
    </row>
    <row r="212" customFormat="false" ht="16.5" hidden="false" customHeight="true" outlineLevel="0" collapsed="false">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162"/>
      <c r="Z212" s="162"/>
    </row>
    <row r="213" customFormat="false" ht="16.5" hidden="false" customHeight="true" outlineLevel="0" collapsed="false">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162"/>
      <c r="Z213" s="162"/>
    </row>
    <row r="214" customFormat="false" ht="16.5" hidden="false" customHeight="true" outlineLevel="0" collapsed="false">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162"/>
      <c r="Z214" s="162"/>
    </row>
    <row r="215" customFormat="false" ht="16.5" hidden="false" customHeight="true" outlineLevel="0" collapsed="false">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162"/>
      <c r="Z215" s="162"/>
    </row>
    <row r="216" customFormat="false" ht="16.5" hidden="false" customHeight="true" outlineLevel="0" collapsed="false">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162"/>
      <c r="Z216" s="162"/>
    </row>
    <row r="217" customFormat="false" ht="16.5" hidden="false" customHeight="true" outlineLevel="0" collapsed="false">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162"/>
      <c r="Z217" s="162"/>
    </row>
    <row r="218" customFormat="false" ht="16.5" hidden="false" customHeight="true" outlineLevel="0" collapsed="false">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162"/>
      <c r="Z218" s="162"/>
    </row>
    <row r="219" customFormat="false" ht="16.5" hidden="false" customHeight="true" outlineLevel="0" collapsed="false">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162"/>
      <c r="Z219" s="162"/>
    </row>
    <row r="220" customFormat="false" ht="16.5" hidden="false" customHeight="true" outlineLevel="0" collapsed="false">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162"/>
      <c r="Z220" s="162"/>
    </row>
    <row r="221" customFormat="false" ht="16.5" hidden="false" customHeight="true" outlineLevel="0" collapsed="false">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162"/>
      <c r="Z221" s="162"/>
    </row>
    <row r="222" customFormat="false" ht="16.5" hidden="false" customHeight="true" outlineLevel="0" collapsed="false">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162"/>
      <c r="Z222" s="162"/>
    </row>
    <row r="223" customFormat="false" ht="16.5" hidden="false" customHeight="true" outlineLevel="0" collapsed="false">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162"/>
      <c r="Z223" s="162"/>
    </row>
    <row r="224" customFormat="false" ht="16.5" hidden="false" customHeight="true" outlineLevel="0" collapsed="false">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162"/>
      <c r="Z224" s="162"/>
    </row>
    <row r="225" customFormat="false" ht="16.5" hidden="false" customHeight="true" outlineLevel="0" collapsed="false">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162"/>
      <c r="Z225" s="162"/>
    </row>
    <row r="226" customFormat="false" ht="16.5" hidden="false" customHeight="true" outlineLevel="0" collapsed="false">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162"/>
      <c r="Z226" s="162"/>
    </row>
    <row r="227" customFormat="false" ht="16.5" hidden="false" customHeight="true" outlineLevel="0" collapsed="false">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162"/>
      <c r="Z227" s="162"/>
    </row>
    <row r="228" customFormat="false" ht="16.5" hidden="false" customHeight="true" outlineLevel="0" collapsed="false">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162"/>
      <c r="Z228" s="162"/>
    </row>
    <row r="229" customFormat="false" ht="16.5" hidden="false" customHeight="true" outlineLevel="0" collapsed="false">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162"/>
      <c r="Z229" s="162"/>
    </row>
    <row r="230" customFormat="false" ht="16.5" hidden="false" customHeight="true" outlineLevel="0" collapsed="false">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162"/>
      <c r="Z230" s="162"/>
    </row>
    <row r="231" customFormat="false" ht="16.5" hidden="false" customHeight="true" outlineLevel="0" collapsed="false">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162"/>
      <c r="Z231" s="162"/>
    </row>
    <row r="232" customFormat="false" ht="16.5" hidden="false" customHeight="true" outlineLevel="0" collapsed="false">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162"/>
      <c r="Z232" s="162"/>
    </row>
    <row r="233" customFormat="false" ht="16.5" hidden="false" customHeight="true" outlineLevel="0" collapsed="false">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162"/>
      <c r="Z233" s="162"/>
    </row>
    <row r="234" customFormat="false" ht="16.5" hidden="false" customHeight="true" outlineLevel="0" collapsed="false">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162"/>
      <c r="Z234" s="162"/>
    </row>
    <row r="235" customFormat="false" ht="16.5" hidden="false" customHeight="true" outlineLevel="0" collapsed="false">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162"/>
      <c r="Z235" s="162"/>
    </row>
    <row r="236" customFormat="false" ht="16.5" hidden="false" customHeight="true" outlineLevel="0" collapsed="false">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162"/>
      <c r="Z236" s="162"/>
    </row>
    <row r="237" customFormat="false" ht="16.5" hidden="false" customHeight="true" outlineLevel="0" collapsed="false">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162"/>
      <c r="Z237" s="162"/>
    </row>
    <row r="238" customFormat="false" ht="16.5" hidden="false" customHeight="true" outlineLevel="0" collapsed="false">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162"/>
      <c r="Z238" s="162"/>
    </row>
    <row r="239" customFormat="false" ht="16.5" hidden="false" customHeight="true" outlineLevel="0" collapsed="false">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162"/>
      <c r="Z239" s="162"/>
    </row>
    <row r="240" customFormat="false" ht="16.5" hidden="false" customHeight="true" outlineLevel="0" collapsed="false">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162"/>
      <c r="Z240" s="162"/>
    </row>
    <row r="241" customFormat="false" ht="16.5" hidden="false" customHeight="true" outlineLevel="0" collapsed="false">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162"/>
      <c r="Z241" s="162"/>
    </row>
    <row r="242" customFormat="false" ht="16.5" hidden="false" customHeight="true" outlineLevel="0" collapsed="false">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162"/>
      <c r="Z242" s="162"/>
    </row>
    <row r="243" customFormat="false" ht="16.5" hidden="false" customHeight="true" outlineLevel="0" collapsed="false">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162"/>
      <c r="Z243" s="162"/>
    </row>
    <row r="244" customFormat="false" ht="16.5" hidden="false" customHeight="true" outlineLevel="0" collapsed="false">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162"/>
      <c r="Z244" s="162"/>
    </row>
    <row r="245" customFormat="false" ht="16.5" hidden="false" customHeight="true" outlineLevel="0" collapsed="false">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162"/>
      <c r="Z245" s="162"/>
    </row>
    <row r="246" customFormat="false" ht="16.5" hidden="false" customHeight="true" outlineLevel="0" collapsed="false">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162"/>
      <c r="Z246" s="162"/>
    </row>
    <row r="247" customFormat="false" ht="16.5" hidden="false" customHeight="true" outlineLevel="0" collapsed="false">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162"/>
      <c r="Z247" s="162"/>
    </row>
    <row r="248" customFormat="false" ht="16.5" hidden="false" customHeight="true" outlineLevel="0" collapsed="false">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162"/>
      <c r="Z248" s="162"/>
    </row>
    <row r="249" customFormat="false" ht="16.5" hidden="false" customHeight="true" outlineLevel="0" collapsed="false">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162"/>
      <c r="Z249" s="162"/>
    </row>
    <row r="250" customFormat="false" ht="16.5" hidden="false" customHeight="true" outlineLevel="0" collapsed="false">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162"/>
      <c r="Z250" s="162"/>
    </row>
    <row r="251" customFormat="false" ht="16.5" hidden="false" customHeight="true" outlineLevel="0" collapsed="false">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162"/>
      <c r="Z251" s="162"/>
    </row>
    <row r="252" customFormat="false" ht="16.5" hidden="false" customHeight="true" outlineLevel="0" collapsed="false">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162"/>
      <c r="Z252" s="162"/>
    </row>
    <row r="253" customFormat="false" ht="16.5" hidden="false" customHeight="true" outlineLevel="0" collapsed="false">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162"/>
      <c r="Z253" s="162"/>
    </row>
    <row r="254" customFormat="false" ht="16.5" hidden="false" customHeight="true" outlineLevel="0" collapsed="false">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162"/>
      <c r="Z254" s="162"/>
    </row>
    <row r="255" customFormat="false" ht="16.5" hidden="false" customHeight="true" outlineLevel="0" collapsed="false">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162"/>
      <c r="Z255" s="162"/>
    </row>
    <row r="256" customFormat="false" ht="16.5" hidden="false" customHeight="true" outlineLevel="0" collapsed="false">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162"/>
      <c r="Z256" s="162"/>
    </row>
    <row r="257" customFormat="false" ht="16.5" hidden="false" customHeight="true" outlineLevel="0" collapsed="false">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162"/>
      <c r="Z257" s="162"/>
    </row>
    <row r="258" customFormat="false" ht="16.5" hidden="false" customHeight="true" outlineLevel="0" collapsed="false">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162"/>
      <c r="Z258" s="162"/>
    </row>
    <row r="259" customFormat="false" ht="16.5" hidden="false" customHeight="true" outlineLevel="0" collapsed="false">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162"/>
      <c r="Z259" s="162"/>
    </row>
    <row r="260" customFormat="false" ht="16.5" hidden="false" customHeight="true" outlineLevel="0" collapsed="false">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162"/>
      <c r="Z260" s="162"/>
    </row>
    <row r="261" customFormat="false" ht="16.5" hidden="false" customHeight="true" outlineLevel="0" collapsed="false">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162"/>
      <c r="Z261" s="162"/>
    </row>
    <row r="262" customFormat="false" ht="16.5" hidden="false" customHeight="true" outlineLevel="0" collapsed="false">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162"/>
      <c r="Z262" s="162"/>
    </row>
    <row r="263" customFormat="false" ht="16.5" hidden="false" customHeight="true" outlineLevel="0" collapsed="false">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162"/>
      <c r="Z263" s="162"/>
    </row>
    <row r="264" customFormat="false" ht="16.5" hidden="false" customHeight="true" outlineLevel="0" collapsed="false">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162"/>
      <c r="Z264" s="162"/>
    </row>
    <row r="265" customFormat="false" ht="16.5" hidden="false" customHeight="true" outlineLevel="0" collapsed="false">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162"/>
      <c r="Z265" s="162"/>
    </row>
    <row r="266" customFormat="false" ht="16.5" hidden="false" customHeight="true" outlineLevel="0" collapsed="false">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162"/>
      <c r="Z266" s="162"/>
    </row>
    <row r="267" customFormat="false" ht="16.5" hidden="false" customHeight="true" outlineLevel="0" collapsed="false">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162"/>
      <c r="Z267" s="162"/>
    </row>
    <row r="268" customFormat="false" ht="16.5" hidden="false" customHeight="true" outlineLevel="0" collapsed="false">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162"/>
      <c r="Z268" s="162"/>
    </row>
    <row r="269" customFormat="false" ht="16.5" hidden="false" customHeight="true" outlineLevel="0" collapsed="false">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162"/>
      <c r="Z269" s="162"/>
    </row>
    <row r="270" customFormat="false" ht="16.5" hidden="false" customHeight="true" outlineLevel="0" collapsed="false">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162"/>
      <c r="Z270" s="162"/>
    </row>
    <row r="271" customFormat="false" ht="16.5" hidden="false" customHeight="true" outlineLevel="0" collapsed="false">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162"/>
      <c r="Z271" s="162"/>
    </row>
    <row r="272" customFormat="false" ht="16.5" hidden="false" customHeight="true" outlineLevel="0" collapsed="false">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162"/>
      <c r="Z272" s="162"/>
    </row>
    <row r="273" customFormat="false" ht="16.5" hidden="false" customHeight="true" outlineLevel="0" collapsed="false">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162"/>
      <c r="Z273" s="162"/>
    </row>
    <row r="274" customFormat="false" ht="16.5" hidden="false" customHeight="true" outlineLevel="0" collapsed="false">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162"/>
      <c r="Z274" s="162"/>
    </row>
    <row r="275" customFormat="false" ht="16.5" hidden="false" customHeight="true" outlineLevel="0" collapsed="false">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162"/>
      <c r="Z275" s="162"/>
    </row>
    <row r="276" customFormat="false" ht="16.5" hidden="false" customHeight="true" outlineLevel="0" collapsed="false">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162"/>
      <c r="Z276" s="162"/>
    </row>
    <row r="277" customFormat="false" ht="16.5" hidden="false" customHeight="true" outlineLevel="0" collapsed="false">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162"/>
      <c r="Z277" s="162"/>
    </row>
    <row r="278" customFormat="false" ht="16.5" hidden="false" customHeight="true" outlineLevel="0" collapsed="false">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162"/>
      <c r="Z278" s="162"/>
    </row>
    <row r="279" customFormat="false" ht="16.5" hidden="false" customHeight="true" outlineLevel="0" collapsed="false">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162"/>
      <c r="Z279" s="162"/>
    </row>
    <row r="280" customFormat="false" ht="16.5" hidden="false" customHeight="true" outlineLevel="0" collapsed="false">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162"/>
      <c r="Z280" s="162"/>
    </row>
    <row r="281" customFormat="false" ht="16.5" hidden="false" customHeight="true" outlineLevel="0" collapsed="false">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162"/>
      <c r="Z281" s="162"/>
    </row>
    <row r="282" customFormat="false" ht="16.5" hidden="false" customHeight="true" outlineLevel="0" collapsed="false">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162"/>
      <c r="Z282" s="162"/>
    </row>
    <row r="283" customFormat="false" ht="16.5" hidden="false" customHeight="true" outlineLevel="0" collapsed="false">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162"/>
      <c r="Z283" s="162"/>
    </row>
    <row r="284" customFormat="false" ht="16.5" hidden="false" customHeight="true" outlineLevel="0" collapsed="false">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162"/>
      <c r="Z284" s="162"/>
    </row>
    <row r="285" customFormat="false" ht="16.5" hidden="false" customHeight="true" outlineLevel="0" collapsed="false">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162"/>
      <c r="Z285" s="162"/>
    </row>
    <row r="286" customFormat="false" ht="16.5" hidden="false" customHeight="true" outlineLevel="0" collapsed="false">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162"/>
      <c r="Z286" s="162"/>
    </row>
    <row r="287" customFormat="false" ht="16.5" hidden="false" customHeight="true" outlineLevel="0" collapsed="false">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162"/>
      <c r="Z287" s="162"/>
    </row>
    <row r="288" customFormat="false" ht="16.5" hidden="false" customHeight="true" outlineLevel="0" collapsed="false">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162"/>
      <c r="Z288" s="162"/>
    </row>
    <row r="289" customFormat="false" ht="16.5" hidden="false" customHeight="true" outlineLevel="0" collapsed="false">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162"/>
      <c r="Z289" s="162"/>
    </row>
    <row r="290" customFormat="false" ht="16.5" hidden="false" customHeight="true" outlineLevel="0" collapsed="false">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162"/>
      <c r="Z290" s="162"/>
    </row>
    <row r="291" customFormat="false" ht="16.5" hidden="false" customHeight="true" outlineLevel="0" collapsed="false">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162"/>
      <c r="Z291" s="162"/>
    </row>
    <row r="292" customFormat="false" ht="16.5" hidden="false" customHeight="true" outlineLevel="0" collapsed="false">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162"/>
      <c r="Z292" s="162"/>
    </row>
    <row r="293" customFormat="false" ht="16.5" hidden="false" customHeight="true" outlineLevel="0" collapsed="false">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162"/>
      <c r="Z293" s="162"/>
    </row>
    <row r="294" customFormat="false" ht="16.5" hidden="false" customHeight="true" outlineLevel="0" collapsed="false">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162"/>
      <c r="Z294" s="162"/>
    </row>
    <row r="295" customFormat="false" ht="16.5" hidden="false" customHeight="true" outlineLevel="0" collapsed="false">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162"/>
      <c r="Z295" s="162"/>
    </row>
    <row r="296" customFormat="false" ht="16.5" hidden="false" customHeight="true" outlineLevel="0" collapsed="false">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162"/>
      <c r="Z296" s="162"/>
    </row>
    <row r="297" customFormat="false" ht="16.5" hidden="false" customHeight="true" outlineLevel="0" collapsed="false">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162"/>
      <c r="Z297" s="162"/>
    </row>
    <row r="298" customFormat="false" ht="16.5" hidden="false" customHeight="true" outlineLevel="0" collapsed="false">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162"/>
      <c r="Z298" s="162"/>
    </row>
    <row r="299" customFormat="false" ht="16.5" hidden="false" customHeight="true" outlineLevel="0" collapsed="false">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162"/>
      <c r="Z299" s="162"/>
    </row>
    <row r="300" customFormat="false" ht="16.5" hidden="false" customHeight="true" outlineLevel="0" collapsed="false">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162"/>
      <c r="Z300" s="162"/>
    </row>
    <row r="301" customFormat="false" ht="16.5" hidden="false" customHeight="true" outlineLevel="0" collapsed="false">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162"/>
      <c r="Z301" s="162"/>
    </row>
    <row r="302" customFormat="false" ht="16.5" hidden="false" customHeight="true" outlineLevel="0" collapsed="false">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162"/>
      <c r="Z302" s="162"/>
    </row>
    <row r="303" customFormat="false" ht="16.5" hidden="false" customHeight="true" outlineLevel="0" collapsed="false">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162"/>
      <c r="Z303" s="162"/>
    </row>
    <row r="304" customFormat="false" ht="16.5" hidden="false" customHeight="true" outlineLevel="0" collapsed="false">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162"/>
      <c r="Z304" s="162"/>
    </row>
    <row r="305" customFormat="false" ht="16.5" hidden="false" customHeight="true" outlineLevel="0" collapsed="false">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162"/>
      <c r="Z305" s="162"/>
    </row>
    <row r="306" customFormat="false" ht="16.5" hidden="false" customHeight="true" outlineLevel="0" collapsed="false">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162"/>
      <c r="Z306" s="162"/>
    </row>
    <row r="307" customFormat="false" ht="16.5" hidden="false" customHeight="true" outlineLevel="0" collapsed="false">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162"/>
      <c r="Z307" s="162"/>
    </row>
    <row r="308" customFormat="false" ht="16.5" hidden="false" customHeight="true" outlineLevel="0" collapsed="false">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162"/>
      <c r="Z308" s="162"/>
    </row>
    <row r="309" customFormat="false" ht="16.5" hidden="false" customHeight="true" outlineLevel="0" collapsed="false">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162"/>
      <c r="Z309" s="162"/>
    </row>
    <row r="310" customFormat="false" ht="16.5" hidden="false" customHeight="true" outlineLevel="0" collapsed="false">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162"/>
      <c r="Z310" s="162"/>
    </row>
    <row r="311" customFormat="false" ht="16.5" hidden="false" customHeight="true" outlineLevel="0" collapsed="false">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162"/>
      <c r="Z311" s="162"/>
    </row>
    <row r="312" customFormat="false" ht="16.5" hidden="false" customHeight="true" outlineLevel="0" collapsed="false">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162"/>
      <c r="Z312" s="162"/>
    </row>
    <row r="313" customFormat="false" ht="16.5" hidden="false" customHeight="true" outlineLevel="0" collapsed="false">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162"/>
      <c r="Z313" s="162"/>
    </row>
    <row r="314" customFormat="false" ht="16.5" hidden="false" customHeight="true" outlineLevel="0" collapsed="false">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162"/>
      <c r="Z314" s="162"/>
    </row>
    <row r="315" customFormat="false" ht="16.5" hidden="false" customHeight="true" outlineLevel="0" collapsed="false">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162"/>
      <c r="Z315" s="162"/>
    </row>
    <row r="316" customFormat="false" ht="16.5" hidden="false" customHeight="true" outlineLevel="0" collapsed="false">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162"/>
      <c r="Z316" s="162"/>
    </row>
    <row r="317" customFormat="false" ht="16.5" hidden="false" customHeight="true" outlineLevel="0" collapsed="false">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162"/>
      <c r="Z317" s="162"/>
    </row>
    <row r="318" customFormat="false" ht="16.5" hidden="false" customHeight="true" outlineLevel="0" collapsed="false">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162"/>
      <c r="Z318" s="162"/>
    </row>
    <row r="319" customFormat="false" ht="16.5" hidden="false" customHeight="true" outlineLevel="0" collapsed="false">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162"/>
      <c r="Z319" s="162"/>
    </row>
    <row r="320" customFormat="false" ht="16.5" hidden="false" customHeight="true" outlineLevel="0" collapsed="false">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162"/>
      <c r="Z320" s="162"/>
    </row>
    <row r="321" customFormat="false" ht="16.5" hidden="false" customHeight="true" outlineLevel="0" collapsed="false">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162"/>
      <c r="Z321" s="162"/>
    </row>
    <row r="322" customFormat="false" ht="16.5" hidden="false" customHeight="true" outlineLevel="0" collapsed="false">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162"/>
      <c r="Z322" s="162"/>
    </row>
    <row r="323" customFormat="false" ht="16.5" hidden="false" customHeight="true" outlineLevel="0" collapsed="false">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162"/>
      <c r="Z323" s="162"/>
    </row>
    <row r="324" customFormat="false" ht="16.5" hidden="false" customHeight="true" outlineLevel="0" collapsed="false">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162"/>
      <c r="Z324" s="162"/>
    </row>
    <row r="325" customFormat="false" ht="16.5" hidden="false" customHeight="true" outlineLevel="0" collapsed="false">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162"/>
      <c r="Z325" s="162"/>
    </row>
    <row r="326" customFormat="false" ht="16.5" hidden="false" customHeight="true" outlineLevel="0" collapsed="false">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162"/>
      <c r="Z326" s="162"/>
    </row>
    <row r="327" customFormat="false" ht="16.5" hidden="false" customHeight="true" outlineLevel="0" collapsed="false">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162"/>
      <c r="Z327" s="162"/>
    </row>
    <row r="328" customFormat="false" ht="16.5" hidden="false" customHeight="true" outlineLevel="0" collapsed="false">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162"/>
      <c r="Z328" s="162"/>
    </row>
    <row r="329" customFormat="false" ht="16.5" hidden="false" customHeight="true" outlineLevel="0" collapsed="false">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162"/>
      <c r="Z329" s="162"/>
    </row>
    <row r="330" customFormat="false" ht="16.5" hidden="false" customHeight="true" outlineLevel="0" collapsed="false">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162"/>
      <c r="Z330" s="162"/>
    </row>
    <row r="331" customFormat="false" ht="16.5" hidden="false" customHeight="true" outlineLevel="0" collapsed="false">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162"/>
      <c r="Z331" s="162"/>
    </row>
    <row r="332" customFormat="false" ht="16.5" hidden="false" customHeight="true" outlineLevel="0" collapsed="false">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162"/>
      <c r="Z332" s="162"/>
    </row>
    <row r="333" customFormat="false" ht="16.5" hidden="false" customHeight="true" outlineLevel="0" collapsed="false">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162"/>
      <c r="Z333" s="162"/>
    </row>
    <row r="334" customFormat="false" ht="16.5" hidden="false" customHeight="true" outlineLevel="0" collapsed="false">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162"/>
      <c r="Z334" s="162"/>
    </row>
    <row r="335" customFormat="false" ht="16.5" hidden="false" customHeight="true" outlineLevel="0" collapsed="false">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162"/>
      <c r="Z335" s="162"/>
    </row>
    <row r="336" customFormat="false" ht="16.5" hidden="false" customHeight="true" outlineLevel="0" collapsed="false">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162"/>
      <c r="Z336" s="162"/>
    </row>
    <row r="337" customFormat="false" ht="16.5" hidden="false" customHeight="true" outlineLevel="0" collapsed="false">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162"/>
      <c r="Z337" s="162"/>
    </row>
    <row r="338" customFormat="false" ht="16.5" hidden="false" customHeight="true" outlineLevel="0" collapsed="false">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162"/>
      <c r="Z338" s="162"/>
    </row>
    <row r="339" customFormat="false" ht="16.5" hidden="false" customHeight="true" outlineLevel="0" collapsed="false">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162"/>
      <c r="Z339" s="162"/>
    </row>
    <row r="340" customFormat="false" ht="16.5" hidden="false" customHeight="true" outlineLevel="0" collapsed="false">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162"/>
      <c r="Z340" s="162"/>
    </row>
    <row r="341" customFormat="false" ht="16.5" hidden="false" customHeight="true" outlineLevel="0" collapsed="false">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162"/>
      <c r="Z341" s="162"/>
    </row>
    <row r="342" customFormat="false" ht="16.5" hidden="false" customHeight="true" outlineLevel="0" collapsed="false">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162"/>
      <c r="Z342" s="162"/>
    </row>
    <row r="343" customFormat="false" ht="16.5" hidden="false" customHeight="true" outlineLevel="0" collapsed="false">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162"/>
      <c r="Z343" s="162"/>
    </row>
    <row r="344" customFormat="false" ht="16.5" hidden="false" customHeight="true" outlineLevel="0" collapsed="false">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162"/>
      <c r="Z344" s="162"/>
    </row>
    <row r="345" customFormat="false" ht="16.5" hidden="false" customHeight="true" outlineLevel="0" collapsed="false">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162"/>
      <c r="Z345" s="162"/>
    </row>
    <row r="346" customFormat="false" ht="16.5" hidden="false" customHeight="true" outlineLevel="0" collapsed="false">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162"/>
      <c r="Z346" s="162"/>
    </row>
    <row r="347" customFormat="false" ht="16.5" hidden="false" customHeight="true" outlineLevel="0" collapsed="false">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162"/>
      <c r="Z347" s="162"/>
    </row>
    <row r="348" customFormat="false" ht="16.5" hidden="false" customHeight="true" outlineLevel="0" collapsed="false">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162"/>
      <c r="Z348" s="162"/>
    </row>
    <row r="349" customFormat="false" ht="16.5" hidden="false" customHeight="true" outlineLevel="0" collapsed="false">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162"/>
      <c r="Z349" s="162"/>
    </row>
    <row r="350" customFormat="false" ht="16.5" hidden="false" customHeight="true" outlineLevel="0" collapsed="false">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162"/>
      <c r="Z350" s="162"/>
    </row>
    <row r="351" customFormat="false" ht="16.5" hidden="false" customHeight="true" outlineLevel="0" collapsed="false">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162"/>
      <c r="Z351" s="162"/>
    </row>
    <row r="352" customFormat="false" ht="16.5" hidden="false" customHeight="true" outlineLevel="0" collapsed="false">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162"/>
      <c r="Z352" s="162"/>
    </row>
    <row r="353" customFormat="false" ht="16.5" hidden="false" customHeight="true" outlineLevel="0" collapsed="false">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162"/>
      <c r="Z353" s="162"/>
    </row>
    <row r="354" customFormat="false" ht="16.5" hidden="false" customHeight="true" outlineLevel="0" collapsed="false">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162"/>
      <c r="Z354" s="162"/>
    </row>
    <row r="355" customFormat="false" ht="16.5" hidden="false" customHeight="true" outlineLevel="0" collapsed="false">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162"/>
      <c r="Z355" s="162"/>
    </row>
    <row r="356" customFormat="false" ht="16.5" hidden="false" customHeight="true" outlineLevel="0" collapsed="false">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162"/>
      <c r="Z356" s="162"/>
    </row>
    <row r="357" customFormat="false" ht="16.5" hidden="false" customHeight="true" outlineLevel="0" collapsed="false">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162"/>
      <c r="Z357" s="162"/>
    </row>
    <row r="358" customFormat="false" ht="16.5" hidden="false" customHeight="true" outlineLevel="0" collapsed="false">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162"/>
      <c r="Z358" s="162"/>
    </row>
    <row r="359" customFormat="false" ht="16.5" hidden="false" customHeight="true" outlineLevel="0" collapsed="false">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162"/>
      <c r="Z359" s="162"/>
    </row>
    <row r="360" customFormat="false" ht="16.5" hidden="false" customHeight="true" outlineLevel="0" collapsed="false">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162"/>
      <c r="Z360" s="162"/>
    </row>
    <row r="361" customFormat="false" ht="16.5" hidden="false" customHeight="true" outlineLevel="0" collapsed="false">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162"/>
      <c r="Z361" s="162"/>
    </row>
    <row r="362" customFormat="false" ht="16.5" hidden="false" customHeight="true" outlineLevel="0" collapsed="false">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162"/>
      <c r="Z362" s="162"/>
    </row>
    <row r="363" customFormat="false" ht="16.5" hidden="false" customHeight="true" outlineLevel="0" collapsed="false">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162"/>
      <c r="Z363" s="162"/>
    </row>
    <row r="364" customFormat="false" ht="16.5" hidden="false" customHeight="true" outlineLevel="0" collapsed="false">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162"/>
      <c r="Z364" s="162"/>
    </row>
    <row r="365" customFormat="false" ht="16.5" hidden="false" customHeight="true" outlineLevel="0" collapsed="false">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162"/>
      <c r="Z365" s="162"/>
    </row>
    <row r="366" customFormat="false" ht="16.5" hidden="false" customHeight="true" outlineLevel="0" collapsed="false">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162"/>
      <c r="Z366" s="162"/>
    </row>
    <row r="367" customFormat="false" ht="16.5" hidden="false" customHeight="true" outlineLevel="0" collapsed="false">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162"/>
      <c r="Z367" s="162"/>
    </row>
    <row r="368" customFormat="false" ht="16.5" hidden="false" customHeight="true" outlineLevel="0" collapsed="false">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162"/>
      <c r="Z368" s="162"/>
    </row>
    <row r="369" customFormat="false" ht="16.5" hidden="false" customHeight="true" outlineLevel="0" collapsed="false">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162"/>
      <c r="Z369" s="162"/>
    </row>
    <row r="370" customFormat="false" ht="16.5" hidden="false" customHeight="true" outlineLevel="0" collapsed="false">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162"/>
      <c r="Z370" s="162"/>
    </row>
    <row r="371" customFormat="false" ht="16.5" hidden="false" customHeight="true" outlineLevel="0" collapsed="false">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162"/>
      <c r="Z371" s="162"/>
    </row>
    <row r="372" customFormat="false" ht="16.5" hidden="false" customHeight="true" outlineLevel="0" collapsed="false">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162"/>
      <c r="Z372" s="162"/>
    </row>
    <row r="373" customFormat="false" ht="16.5" hidden="false" customHeight="true" outlineLevel="0" collapsed="false">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162"/>
      <c r="Z373" s="162"/>
    </row>
    <row r="374" customFormat="false" ht="16.5" hidden="false" customHeight="true" outlineLevel="0" collapsed="false">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162"/>
      <c r="Z374" s="162"/>
    </row>
    <row r="375" customFormat="false" ht="16.5" hidden="false" customHeight="true" outlineLevel="0" collapsed="false">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162"/>
      <c r="Z375" s="162"/>
    </row>
    <row r="376" customFormat="false" ht="16.5" hidden="false" customHeight="true" outlineLevel="0" collapsed="false">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162"/>
      <c r="Z376" s="162"/>
    </row>
    <row r="377" customFormat="false" ht="16.5" hidden="false" customHeight="true" outlineLevel="0" collapsed="false">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162"/>
      <c r="Z377" s="162"/>
    </row>
    <row r="378" customFormat="false" ht="16.5" hidden="false" customHeight="true" outlineLevel="0" collapsed="false">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162"/>
      <c r="Z378" s="162"/>
    </row>
    <row r="379" customFormat="false" ht="16.5" hidden="false" customHeight="true" outlineLevel="0" collapsed="false">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162"/>
      <c r="Z379" s="162"/>
    </row>
    <row r="380" customFormat="false" ht="16.5" hidden="false" customHeight="true" outlineLevel="0" collapsed="false">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162"/>
      <c r="Z380" s="162"/>
    </row>
    <row r="381" customFormat="false" ht="16.5" hidden="false" customHeight="true" outlineLevel="0" collapsed="false">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162"/>
      <c r="Z381" s="162"/>
    </row>
    <row r="382" customFormat="false" ht="16.5" hidden="false" customHeight="true" outlineLevel="0" collapsed="false">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162"/>
      <c r="Z382" s="162"/>
    </row>
    <row r="383" customFormat="false" ht="16.5" hidden="false" customHeight="true" outlineLevel="0" collapsed="false">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162"/>
      <c r="Z383" s="162"/>
    </row>
    <row r="384" customFormat="false" ht="16.5" hidden="false" customHeight="true" outlineLevel="0" collapsed="false">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162"/>
      <c r="Z384" s="162"/>
    </row>
    <row r="385" customFormat="false" ht="16.5" hidden="false" customHeight="true" outlineLevel="0" collapsed="false">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162"/>
      <c r="Z385" s="162"/>
    </row>
    <row r="386" customFormat="false" ht="16.5" hidden="false" customHeight="true" outlineLevel="0" collapsed="false">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162"/>
      <c r="Z386" s="162"/>
    </row>
    <row r="387" customFormat="false" ht="16.5" hidden="false" customHeight="true" outlineLevel="0" collapsed="false">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162"/>
      <c r="Z387" s="162"/>
    </row>
    <row r="388" customFormat="false" ht="16.5" hidden="false" customHeight="true" outlineLevel="0" collapsed="false">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162"/>
      <c r="Z388" s="162"/>
    </row>
    <row r="389" customFormat="false" ht="16.5" hidden="false" customHeight="true" outlineLevel="0" collapsed="false">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162"/>
      <c r="Z389" s="162"/>
    </row>
    <row r="390" customFormat="false" ht="16.5" hidden="false" customHeight="true" outlineLevel="0" collapsed="false">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162"/>
      <c r="Z390" s="162"/>
    </row>
    <row r="391" customFormat="false" ht="16.5" hidden="false" customHeight="true" outlineLevel="0" collapsed="false">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162"/>
      <c r="Z391" s="162"/>
    </row>
    <row r="392" customFormat="false" ht="16.5" hidden="false" customHeight="true" outlineLevel="0" collapsed="false">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162"/>
      <c r="Z392" s="162"/>
    </row>
    <row r="393" customFormat="false" ht="16.5" hidden="false" customHeight="true" outlineLevel="0" collapsed="false">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162"/>
      <c r="Z393" s="162"/>
    </row>
    <row r="394" customFormat="false" ht="16.5" hidden="false" customHeight="true" outlineLevel="0" collapsed="false">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162"/>
      <c r="Z394" s="162"/>
    </row>
    <row r="395" customFormat="false" ht="16.5" hidden="false" customHeight="true" outlineLevel="0" collapsed="false">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162"/>
      <c r="Z395" s="162"/>
    </row>
    <row r="396" customFormat="false" ht="16.5" hidden="false" customHeight="true" outlineLevel="0" collapsed="false">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162"/>
      <c r="Z396" s="162"/>
    </row>
    <row r="397" customFormat="false" ht="16.5" hidden="false" customHeight="true" outlineLevel="0" collapsed="false">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162"/>
      <c r="Z397" s="162"/>
    </row>
    <row r="398" customFormat="false" ht="16.5" hidden="false" customHeight="true" outlineLevel="0" collapsed="false">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162"/>
      <c r="Z398" s="162"/>
    </row>
    <row r="399" customFormat="false" ht="16.5" hidden="false" customHeight="true" outlineLevel="0" collapsed="false">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162"/>
      <c r="Z399" s="162"/>
    </row>
    <row r="400" customFormat="false" ht="16.5" hidden="false" customHeight="true" outlineLevel="0" collapsed="false">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162"/>
      <c r="Z400" s="162"/>
    </row>
    <row r="401" customFormat="false" ht="16.5" hidden="false" customHeight="true" outlineLevel="0" collapsed="false">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162"/>
      <c r="Z401" s="162"/>
    </row>
    <row r="402" customFormat="false" ht="16.5" hidden="false" customHeight="true" outlineLevel="0" collapsed="false">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162"/>
      <c r="Z402" s="162"/>
    </row>
    <row r="403" customFormat="false" ht="16.5" hidden="false" customHeight="true" outlineLevel="0" collapsed="false">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162"/>
      <c r="Z403" s="162"/>
    </row>
    <row r="404" customFormat="false" ht="16.5" hidden="false" customHeight="true" outlineLevel="0" collapsed="false">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162"/>
      <c r="Z404" s="162"/>
    </row>
    <row r="405" customFormat="false" ht="16.5" hidden="false" customHeight="true" outlineLevel="0" collapsed="false">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162"/>
      <c r="Z405" s="162"/>
    </row>
    <row r="406" customFormat="false" ht="16.5" hidden="false" customHeight="true" outlineLevel="0" collapsed="false">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162"/>
      <c r="Z406" s="162"/>
    </row>
    <row r="407" customFormat="false" ht="16.5" hidden="false" customHeight="true" outlineLevel="0" collapsed="false">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162"/>
      <c r="Z407" s="162"/>
    </row>
    <row r="408" customFormat="false" ht="16.5" hidden="false" customHeight="true" outlineLevel="0" collapsed="false">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162"/>
      <c r="Z408" s="162"/>
    </row>
    <row r="409" customFormat="false" ht="16.5" hidden="false" customHeight="true" outlineLevel="0" collapsed="false">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162"/>
      <c r="Z409" s="162"/>
    </row>
    <row r="410" customFormat="false" ht="16.5" hidden="false" customHeight="true" outlineLevel="0" collapsed="false">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162"/>
      <c r="Z410" s="162"/>
    </row>
    <row r="411" customFormat="false" ht="16.5" hidden="false" customHeight="true" outlineLevel="0" collapsed="false">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162"/>
      <c r="Z411" s="162"/>
    </row>
    <row r="412" customFormat="false" ht="16.5" hidden="false" customHeight="true" outlineLevel="0" collapsed="false">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162"/>
      <c r="Z412" s="162"/>
    </row>
    <row r="413" customFormat="false" ht="16.5" hidden="false" customHeight="true" outlineLevel="0" collapsed="false">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162"/>
      <c r="Z413" s="162"/>
    </row>
    <row r="414" customFormat="false" ht="16.5" hidden="false" customHeight="true" outlineLevel="0" collapsed="false">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162"/>
      <c r="Z414" s="162"/>
    </row>
    <row r="415" customFormat="false" ht="16.5" hidden="false" customHeight="true" outlineLevel="0" collapsed="false">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162"/>
      <c r="Z415" s="162"/>
    </row>
    <row r="416" customFormat="false" ht="16.5" hidden="false" customHeight="true" outlineLevel="0" collapsed="false">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162"/>
      <c r="Z416" s="162"/>
    </row>
    <row r="417" customFormat="false" ht="16.5" hidden="false" customHeight="true" outlineLevel="0" collapsed="false">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162"/>
      <c r="Z417" s="162"/>
    </row>
    <row r="418" customFormat="false" ht="16.5" hidden="false" customHeight="true" outlineLevel="0" collapsed="false">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162"/>
      <c r="Z418" s="162"/>
    </row>
    <row r="419" customFormat="false" ht="16.5" hidden="false" customHeight="true" outlineLevel="0" collapsed="false">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162"/>
      <c r="Z419" s="162"/>
    </row>
    <row r="420" customFormat="false" ht="16.5" hidden="false" customHeight="true" outlineLevel="0" collapsed="false">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162"/>
      <c r="Z420" s="162"/>
    </row>
    <row r="421" customFormat="false" ht="16.5" hidden="false" customHeight="true" outlineLevel="0" collapsed="false">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162"/>
      <c r="Z421" s="162"/>
    </row>
    <row r="422" customFormat="false" ht="16.5" hidden="false" customHeight="true" outlineLevel="0" collapsed="false">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162"/>
      <c r="Z422" s="162"/>
    </row>
    <row r="423" customFormat="false" ht="16.5" hidden="false" customHeight="true" outlineLevel="0" collapsed="false">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162"/>
      <c r="Z423" s="162"/>
    </row>
    <row r="424" customFormat="false" ht="16.5" hidden="false" customHeight="true" outlineLevel="0" collapsed="false">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162"/>
      <c r="Z424" s="162"/>
    </row>
    <row r="425" customFormat="false" ht="16.5" hidden="false" customHeight="true" outlineLevel="0" collapsed="false">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162"/>
      <c r="Z425" s="162"/>
    </row>
    <row r="426" customFormat="false" ht="16.5" hidden="false" customHeight="true" outlineLevel="0" collapsed="false">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162"/>
      <c r="Z426" s="162"/>
    </row>
    <row r="427" customFormat="false" ht="16.5" hidden="false" customHeight="true" outlineLevel="0" collapsed="false">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162"/>
      <c r="Z427" s="162"/>
    </row>
    <row r="428" customFormat="false" ht="16.5" hidden="false" customHeight="true" outlineLevel="0" collapsed="false">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162"/>
      <c r="Z428" s="162"/>
    </row>
    <row r="429" customFormat="false" ht="16.5" hidden="false" customHeight="true" outlineLevel="0" collapsed="false">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162"/>
      <c r="Z429" s="162"/>
    </row>
    <row r="430" customFormat="false" ht="16.5" hidden="false" customHeight="true" outlineLevel="0" collapsed="false">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162"/>
      <c r="Z430" s="162"/>
    </row>
    <row r="431" customFormat="false" ht="16.5" hidden="false" customHeight="true" outlineLevel="0" collapsed="false">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162"/>
      <c r="Z431" s="162"/>
    </row>
    <row r="432" customFormat="false" ht="16.5" hidden="false" customHeight="true" outlineLevel="0" collapsed="false">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162"/>
      <c r="Z432" s="162"/>
    </row>
    <row r="433" customFormat="false" ht="16.5" hidden="false" customHeight="true" outlineLevel="0" collapsed="false">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162"/>
      <c r="Z433" s="162"/>
    </row>
    <row r="434" customFormat="false" ht="16.5" hidden="false" customHeight="true" outlineLevel="0" collapsed="false">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162"/>
      <c r="Z434" s="162"/>
    </row>
    <row r="435" customFormat="false" ht="16.5" hidden="false" customHeight="true" outlineLevel="0" collapsed="false">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162"/>
      <c r="Z435" s="162"/>
    </row>
    <row r="436" customFormat="false" ht="16.5" hidden="false" customHeight="true" outlineLevel="0" collapsed="false">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162"/>
      <c r="Z436" s="162"/>
    </row>
    <row r="437" customFormat="false" ht="16.5" hidden="false" customHeight="true" outlineLevel="0" collapsed="false">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162"/>
      <c r="Z437" s="162"/>
    </row>
    <row r="438" customFormat="false" ht="16.5" hidden="false" customHeight="true" outlineLevel="0" collapsed="false">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162"/>
      <c r="Z438" s="162"/>
    </row>
    <row r="439" customFormat="false" ht="16.5" hidden="false" customHeight="true" outlineLevel="0" collapsed="false">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162"/>
      <c r="Z439" s="162"/>
    </row>
    <row r="440" customFormat="false" ht="16.5" hidden="false" customHeight="true" outlineLevel="0" collapsed="false">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162"/>
      <c r="Z440" s="162"/>
    </row>
    <row r="441" customFormat="false" ht="16.5" hidden="false" customHeight="true" outlineLevel="0" collapsed="false">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162"/>
      <c r="Z441" s="162"/>
    </row>
    <row r="442" customFormat="false" ht="16.5" hidden="false" customHeight="true" outlineLevel="0" collapsed="false">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162"/>
      <c r="Z442" s="162"/>
    </row>
    <row r="443" customFormat="false" ht="16.5" hidden="false" customHeight="true" outlineLevel="0" collapsed="false">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162"/>
      <c r="Z443" s="162"/>
    </row>
    <row r="444" customFormat="false" ht="16.5" hidden="false" customHeight="true" outlineLevel="0" collapsed="false">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162"/>
      <c r="Z444" s="162"/>
    </row>
    <row r="445" customFormat="false" ht="16.5" hidden="false" customHeight="true" outlineLevel="0" collapsed="false">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162"/>
      <c r="Z445" s="162"/>
    </row>
    <row r="446" customFormat="false" ht="16.5" hidden="false" customHeight="true" outlineLevel="0" collapsed="false">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162"/>
      <c r="Z446" s="162"/>
    </row>
    <row r="447" customFormat="false" ht="16.5" hidden="false" customHeight="true" outlineLevel="0" collapsed="false">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162"/>
      <c r="Z447" s="162"/>
    </row>
    <row r="448" customFormat="false" ht="16.5" hidden="false" customHeight="true" outlineLevel="0" collapsed="false">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162"/>
      <c r="Z448" s="162"/>
    </row>
    <row r="449" customFormat="false" ht="16.5" hidden="false" customHeight="true" outlineLevel="0" collapsed="false">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162"/>
      <c r="Z449" s="162"/>
    </row>
    <row r="450" customFormat="false" ht="16.5" hidden="false" customHeight="true" outlineLevel="0" collapsed="false">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162"/>
      <c r="Z450" s="162"/>
    </row>
    <row r="451" customFormat="false" ht="16.5" hidden="false" customHeight="true" outlineLevel="0" collapsed="false">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162"/>
      <c r="Z451" s="162"/>
    </row>
    <row r="452" customFormat="false" ht="16.5" hidden="false" customHeight="true" outlineLevel="0" collapsed="false">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162"/>
      <c r="Z452" s="162"/>
    </row>
    <row r="453" customFormat="false" ht="16.5" hidden="false" customHeight="true" outlineLevel="0" collapsed="false">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162"/>
      <c r="Z453" s="162"/>
    </row>
    <row r="454" customFormat="false" ht="16.5" hidden="false" customHeight="true" outlineLevel="0" collapsed="false">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162"/>
      <c r="Z454" s="162"/>
    </row>
    <row r="455" customFormat="false" ht="16.5" hidden="false" customHeight="true" outlineLevel="0" collapsed="false">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162"/>
      <c r="Z455" s="162"/>
    </row>
    <row r="456" customFormat="false" ht="16.5" hidden="false" customHeight="true" outlineLevel="0" collapsed="false">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162"/>
      <c r="Z456" s="162"/>
    </row>
    <row r="457" customFormat="false" ht="16.5" hidden="false" customHeight="true" outlineLevel="0" collapsed="false">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162"/>
      <c r="Z457" s="162"/>
    </row>
    <row r="458" customFormat="false" ht="16.5" hidden="false" customHeight="true" outlineLevel="0" collapsed="false">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162"/>
      <c r="Z458" s="162"/>
    </row>
    <row r="459" customFormat="false" ht="16.5" hidden="false" customHeight="true" outlineLevel="0" collapsed="false">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162"/>
      <c r="Z459" s="162"/>
    </row>
    <row r="460" customFormat="false" ht="16.5" hidden="false" customHeight="true" outlineLevel="0" collapsed="false">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162"/>
      <c r="Z460" s="162"/>
    </row>
    <row r="461" customFormat="false" ht="16.5" hidden="false" customHeight="true" outlineLevel="0" collapsed="false">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162"/>
      <c r="Z461" s="162"/>
    </row>
    <row r="462" customFormat="false" ht="16.5" hidden="false" customHeight="true" outlineLevel="0" collapsed="false">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162"/>
      <c r="Z462" s="162"/>
    </row>
    <row r="463" customFormat="false" ht="16.5" hidden="false" customHeight="true" outlineLevel="0" collapsed="false">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162"/>
      <c r="Z463" s="162"/>
    </row>
    <row r="464" customFormat="false" ht="16.5" hidden="false" customHeight="true" outlineLevel="0" collapsed="false">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162"/>
      <c r="Z464" s="162"/>
    </row>
    <row r="465" customFormat="false" ht="16.5" hidden="false" customHeight="true" outlineLevel="0" collapsed="false">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162"/>
      <c r="Z465" s="162"/>
    </row>
    <row r="466" customFormat="false" ht="16.5" hidden="false" customHeight="true" outlineLevel="0" collapsed="false">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162"/>
      <c r="Z466" s="162"/>
    </row>
    <row r="467" customFormat="false" ht="16.5" hidden="false" customHeight="true" outlineLevel="0" collapsed="false">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162"/>
      <c r="Z467" s="162"/>
    </row>
    <row r="468" customFormat="false" ht="16.5" hidden="false" customHeight="true" outlineLevel="0" collapsed="false">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162"/>
      <c r="Z468" s="162"/>
    </row>
    <row r="469" customFormat="false" ht="16.5" hidden="false" customHeight="true" outlineLevel="0" collapsed="false">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162"/>
      <c r="Z469" s="162"/>
    </row>
    <row r="470" customFormat="false" ht="16.5" hidden="false" customHeight="true" outlineLevel="0" collapsed="false">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162"/>
      <c r="Z470" s="162"/>
    </row>
    <row r="471" customFormat="false" ht="16.5" hidden="false" customHeight="true" outlineLevel="0" collapsed="false">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162"/>
      <c r="Z471" s="162"/>
    </row>
    <row r="472" customFormat="false" ht="16.5" hidden="false" customHeight="true" outlineLevel="0" collapsed="false">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162"/>
      <c r="Z472" s="162"/>
    </row>
    <row r="473" customFormat="false" ht="16.5" hidden="false" customHeight="true" outlineLevel="0" collapsed="false">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162"/>
      <c r="Z473" s="162"/>
    </row>
    <row r="474" customFormat="false" ht="16.5" hidden="false" customHeight="true" outlineLevel="0" collapsed="false">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162"/>
      <c r="Z474" s="162"/>
    </row>
    <row r="475" customFormat="false" ht="16.5" hidden="false" customHeight="true" outlineLevel="0" collapsed="false">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162"/>
      <c r="Z475" s="162"/>
    </row>
    <row r="476" customFormat="false" ht="16.5" hidden="false" customHeight="true" outlineLevel="0" collapsed="false">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162"/>
      <c r="Z476" s="162"/>
    </row>
    <row r="477" customFormat="false" ht="16.5" hidden="false" customHeight="true" outlineLevel="0" collapsed="false">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162"/>
      <c r="Z477" s="162"/>
    </row>
    <row r="478" customFormat="false" ht="16.5" hidden="false" customHeight="true" outlineLevel="0" collapsed="false">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162"/>
      <c r="Z478" s="162"/>
    </row>
    <row r="479" customFormat="false" ht="16.5" hidden="false" customHeight="true" outlineLevel="0" collapsed="false">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162"/>
      <c r="Z479" s="162"/>
    </row>
    <row r="480" customFormat="false" ht="16.5" hidden="false" customHeight="true" outlineLevel="0" collapsed="false">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162"/>
      <c r="Z480" s="162"/>
    </row>
    <row r="481" customFormat="false" ht="16.5" hidden="false" customHeight="true" outlineLevel="0" collapsed="false">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162"/>
      <c r="Z481" s="162"/>
    </row>
    <row r="482" customFormat="false" ht="16.5" hidden="false" customHeight="true" outlineLevel="0" collapsed="false">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162"/>
      <c r="Z482" s="162"/>
    </row>
    <row r="483" customFormat="false" ht="16.5" hidden="false" customHeight="true" outlineLevel="0" collapsed="false">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162"/>
      <c r="Z483" s="162"/>
    </row>
    <row r="484" customFormat="false" ht="16.5" hidden="false" customHeight="true" outlineLevel="0" collapsed="false">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162"/>
      <c r="Z484" s="162"/>
    </row>
    <row r="485" customFormat="false" ht="16.5" hidden="false" customHeight="true" outlineLevel="0" collapsed="false">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162"/>
      <c r="Z485" s="162"/>
    </row>
    <row r="486" customFormat="false" ht="16.5" hidden="false" customHeight="true" outlineLevel="0" collapsed="false">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162"/>
      <c r="Z486" s="162"/>
    </row>
    <row r="487" customFormat="false" ht="16.5" hidden="false" customHeight="true" outlineLevel="0" collapsed="false">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162"/>
      <c r="Z487" s="162"/>
    </row>
    <row r="488" customFormat="false" ht="16.5" hidden="false" customHeight="true" outlineLevel="0" collapsed="false">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162"/>
      <c r="Z488" s="162"/>
    </row>
    <row r="489" customFormat="false" ht="16.5" hidden="false" customHeight="true" outlineLevel="0" collapsed="false">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162"/>
      <c r="Z489" s="162"/>
    </row>
    <row r="490" customFormat="false" ht="16.5" hidden="false" customHeight="true" outlineLevel="0" collapsed="false">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162"/>
      <c r="Z490" s="162"/>
    </row>
    <row r="491" customFormat="false" ht="16.5" hidden="false" customHeight="true" outlineLevel="0" collapsed="false">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162"/>
      <c r="Z491" s="162"/>
    </row>
    <row r="492" customFormat="false" ht="16.5" hidden="false" customHeight="true" outlineLevel="0" collapsed="false">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162"/>
      <c r="Z492" s="162"/>
    </row>
    <row r="493" customFormat="false" ht="16.5" hidden="false" customHeight="true" outlineLevel="0" collapsed="false">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162"/>
      <c r="Z493" s="162"/>
    </row>
    <row r="494" customFormat="false" ht="16.5" hidden="false" customHeight="true" outlineLevel="0" collapsed="false">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162"/>
      <c r="Z494" s="162"/>
    </row>
    <row r="495" customFormat="false" ht="16.5" hidden="false" customHeight="true" outlineLevel="0" collapsed="false">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162"/>
      <c r="Z495" s="162"/>
    </row>
    <row r="496" customFormat="false" ht="16.5" hidden="false" customHeight="true" outlineLevel="0" collapsed="false">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162"/>
      <c r="Z496" s="162"/>
    </row>
    <row r="497" customFormat="false" ht="16.5" hidden="false" customHeight="true" outlineLevel="0" collapsed="false">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162"/>
      <c r="Z497" s="162"/>
    </row>
    <row r="498" customFormat="false" ht="16.5" hidden="false" customHeight="true" outlineLevel="0" collapsed="false">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162"/>
      <c r="Z498" s="162"/>
    </row>
    <row r="499" customFormat="false" ht="16.5" hidden="false" customHeight="true" outlineLevel="0" collapsed="false">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162"/>
      <c r="Z499" s="162"/>
    </row>
    <row r="500" customFormat="false" ht="16.5" hidden="false" customHeight="true" outlineLevel="0" collapsed="false">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162"/>
      <c r="Z500" s="162"/>
    </row>
    <row r="501" customFormat="false" ht="16.5" hidden="false" customHeight="true" outlineLevel="0" collapsed="false">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162"/>
      <c r="Z501" s="162"/>
    </row>
    <row r="502" customFormat="false" ht="16.5" hidden="false" customHeight="true" outlineLevel="0" collapsed="false">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162"/>
      <c r="Z502" s="162"/>
    </row>
    <row r="503" customFormat="false" ht="16.5" hidden="false" customHeight="true" outlineLevel="0" collapsed="false">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162"/>
      <c r="Z503" s="162"/>
    </row>
    <row r="504" customFormat="false" ht="16.5" hidden="false" customHeight="true" outlineLevel="0" collapsed="false">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162"/>
      <c r="Z504" s="162"/>
    </row>
    <row r="505" customFormat="false" ht="16.5" hidden="false" customHeight="true" outlineLevel="0" collapsed="false">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162"/>
      <c r="Z505" s="162"/>
    </row>
    <row r="506" customFormat="false" ht="16.5" hidden="false" customHeight="true" outlineLevel="0" collapsed="false">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162"/>
      <c r="Z506" s="162"/>
    </row>
    <row r="507" customFormat="false" ht="16.5" hidden="false" customHeight="true" outlineLevel="0" collapsed="false">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162"/>
      <c r="Z507" s="162"/>
    </row>
    <row r="508" customFormat="false" ht="16.5" hidden="false" customHeight="true" outlineLevel="0" collapsed="false">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162"/>
      <c r="Z508" s="162"/>
    </row>
    <row r="509" customFormat="false" ht="16.5" hidden="false" customHeight="true" outlineLevel="0" collapsed="false">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162"/>
      <c r="Z509" s="162"/>
    </row>
    <row r="510" customFormat="false" ht="16.5" hidden="false" customHeight="true" outlineLevel="0" collapsed="false">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162"/>
      <c r="Z510" s="162"/>
    </row>
    <row r="511" customFormat="false" ht="16.5" hidden="false" customHeight="true" outlineLevel="0" collapsed="false">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162"/>
      <c r="Z511" s="162"/>
    </row>
    <row r="512" customFormat="false" ht="16.5" hidden="false" customHeight="true" outlineLevel="0" collapsed="false">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162"/>
      <c r="Z512" s="162"/>
    </row>
    <row r="513" customFormat="false" ht="16.5" hidden="false" customHeight="true" outlineLevel="0" collapsed="false">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162"/>
      <c r="Z513" s="162"/>
    </row>
    <row r="514" customFormat="false" ht="16.5" hidden="false" customHeight="true" outlineLevel="0" collapsed="false">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162"/>
      <c r="Z514" s="162"/>
    </row>
    <row r="515" customFormat="false" ht="16.5" hidden="false" customHeight="true" outlineLevel="0" collapsed="false">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162"/>
      <c r="Z515" s="162"/>
    </row>
    <row r="516" customFormat="false" ht="16.5" hidden="false" customHeight="true" outlineLevel="0" collapsed="false">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162"/>
      <c r="Z516" s="162"/>
    </row>
    <row r="517" customFormat="false" ht="16.5" hidden="false" customHeight="true" outlineLevel="0" collapsed="false">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162"/>
      <c r="Z517" s="162"/>
    </row>
    <row r="518" customFormat="false" ht="16.5" hidden="false" customHeight="true" outlineLevel="0" collapsed="false">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162"/>
      <c r="Z518" s="162"/>
    </row>
    <row r="519" customFormat="false" ht="16.5" hidden="false" customHeight="true" outlineLevel="0" collapsed="false">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162"/>
      <c r="Z519" s="162"/>
    </row>
    <row r="520" customFormat="false" ht="16.5" hidden="false" customHeight="true" outlineLevel="0" collapsed="false">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162"/>
      <c r="Z520" s="162"/>
    </row>
    <row r="521" customFormat="false" ht="16.5" hidden="false" customHeight="true" outlineLevel="0" collapsed="false">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162"/>
      <c r="Z521" s="162"/>
    </row>
    <row r="522" customFormat="false" ht="16.5" hidden="false" customHeight="true" outlineLevel="0" collapsed="false">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162"/>
      <c r="Z522" s="162"/>
    </row>
    <row r="523" customFormat="false" ht="16.5" hidden="false" customHeight="true" outlineLevel="0" collapsed="false">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162"/>
      <c r="Z523" s="162"/>
    </row>
    <row r="524" customFormat="false" ht="16.5" hidden="false" customHeight="true" outlineLevel="0" collapsed="false">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162"/>
      <c r="Z524" s="162"/>
    </row>
    <row r="525" customFormat="false" ht="16.5" hidden="false" customHeight="true" outlineLevel="0" collapsed="false">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162"/>
      <c r="Z525" s="162"/>
    </row>
    <row r="526" customFormat="false" ht="16.5" hidden="false" customHeight="true" outlineLevel="0" collapsed="false">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162"/>
      <c r="Z526" s="162"/>
    </row>
    <row r="527" customFormat="false" ht="16.5" hidden="false" customHeight="true" outlineLevel="0" collapsed="false">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162"/>
      <c r="Z527" s="162"/>
    </row>
    <row r="528" customFormat="false" ht="16.5" hidden="false" customHeight="true" outlineLevel="0" collapsed="false">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162"/>
      <c r="Z528" s="162"/>
    </row>
    <row r="529" customFormat="false" ht="16.5" hidden="false" customHeight="true" outlineLevel="0" collapsed="false">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162"/>
      <c r="Z529" s="162"/>
    </row>
    <row r="530" customFormat="false" ht="16.5" hidden="false" customHeight="true" outlineLevel="0" collapsed="false">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162"/>
      <c r="Z530" s="162"/>
    </row>
    <row r="531" customFormat="false" ht="16.5" hidden="false" customHeight="true" outlineLevel="0" collapsed="false">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162"/>
      <c r="Z531" s="162"/>
    </row>
    <row r="532" customFormat="false" ht="16.5" hidden="false" customHeight="true" outlineLevel="0" collapsed="false">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162"/>
      <c r="Z532" s="162"/>
    </row>
    <row r="533" customFormat="false" ht="16.5" hidden="false" customHeight="true" outlineLevel="0" collapsed="false">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162"/>
      <c r="Z533" s="162"/>
    </row>
    <row r="534" customFormat="false" ht="16.5" hidden="false" customHeight="true" outlineLevel="0" collapsed="false">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162"/>
      <c r="Z534" s="162"/>
    </row>
    <row r="535" customFormat="false" ht="16.5" hidden="false" customHeight="true" outlineLevel="0" collapsed="false">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162"/>
      <c r="Z535" s="162"/>
    </row>
    <row r="536" customFormat="false" ht="16.5" hidden="false" customHeight="true" outlineLevel="0" collapsed="false">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162"/>
      <c r="Z536" s="162"/>
    </row>
    <row r="537" customFormat="false" ht="16.5" hidden="false" customHeight="true" outlineLevel="0" collapsed="false">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162"/>
      <c r="Z537" s="162"/>
    </row>
    <row r="538" customFormat="false" ht="16.5" hidden="false" customHeight="true" outlineLevel="0" collapsed="false">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162"/>
      <c r="Z538" s="162"/>
    </row>
    <row r="539" customFormat="false" ht="16.5" hidden="false" customHeight="true" outlineLevel="0" collapsed="false">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162"/>
      <c r="Z539" s="162"/>
    </row>
    <row r="540" customFormat="false" ht="16.5" hidden="false" customHeight="true" outlineLevel="0" collapsed="false">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162"/>
      <c r="Z540" s="162"/>
    </row>
    <row r="541" customFormat="false" ht="16.5" hidden="false" customHeight="true" outlineLevel="0" collapsed="false">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162"/>
      <c r="Z541" s="162"/>
    </row>
    <row r="542" customFormat="false" ht="16.5" hidden="false" customHeight="true" outlineLevel="0" collapsed="false">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162"/>
      <c r="Z542" s="162"/>
    </row>
    <row r="543" customFormat="false" ht="16.5" hidden="false" customHeight="true" outlineLevel="0" collapsed="false">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162"/>
      <c r="Z543" s="162"/>
    </row>
    <row r="544" customFormat="false" ht="16.5" hidden="false" customHeight="true" outlineLevel="0" collapsed="false">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162"/>
      <c r="Z544" s="162"/>
    </row>
    <row r="545" customFormat="false" ht="16.5" hidden="false" customHeight="true" outlineLevel="0" collapsed="false">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162"/>
      <c r="Z545" s="162"/>
    </row>
    <row r="546" customFormat="false" ht="16.5" hidden="false" customHeight="true" outlineLevel="0" collapsed="false">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162"/>
      <c r="Z546" s="162"/>
    </row>
    <row r="547" customFormat="false" ht="16.5" hidden="false" customHeight="true" outlineLevel="0" collapsed="false">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162"/>
      <c r="Z547" s="162"/>
    </row>
    <row r="548" customFormat="false" ht="16.5" hidden="false" customHeight="true" outlineLevel="0" collapsed="false">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162"/>
      <c r="Z548" s="162"/>
    </row>
    <row r="549" customFormat="false" ht="16.5" hidden="false" customHeight="true" outlineLevel="0" collapsed="false">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162"/>
      <c r="Z549" s="162"/>
    </row>
    <row r="550" customFormat="false" ht="16.5" hidden="false" customHeight="true" outlineLevel="0" collapsed="false">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162"/>
      <c r="Z550" s="162"/>
    </row>
    <row r="551" customFormat="false" ht="16.5" hidden="false" customHeight="true" outlineLevel="0" collapsed="false">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162"/>
      <c r="Z551" s="162"/>
    </row>
    <row r="552" customFormat="false" ht="16.5" hidden="false" customHeight="true" outlineLevel="0" collapsed="false">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162"/>
      <c r="Z552" s="162"/>
    </row>
    <row r="553" customFormat="false" ht="16.5" hidden="false" customHeight="true" outlineLevel="0" collapsed="false">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162"/>
      <c r="Z553" s="162"/>
    </row>
    <row r="554" customFormat="false" ht="16.5" hidden="false" customHeight="true" outlineLevel="0" collapsed="false">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162"/>
      <c r="Z554" s="162"/>
    </row>
    <row r="555" customFormat="false" ht="16.5" hidden="false" customHeight="true" outlineLevel="0" collapsed="false">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162"/>
      <c r="Z555" s="162"/>
    </row>
    <row r="556" customFormat="false" ht="16.5" hidden="false" customHeight="true" outlineLevel="0" collapsed="false">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162"/>
      <c r="Z556" s="162"/>
    </row>
    <row r="557" customFormat="false" ht="16.5" hidden="false" customHeight="true" outlineLevel="0" collapsed="false">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162"/>
      <c r="Z557" s="162"/>
    </row>
    <row r="558" customFormat="false" ht="16.5" hidden="false" customHeight="true" outlineLevel="0" collapsed="false">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162"/>
      <c r="Z558" s="162"/>
    </row>
    <row r="559" customFormat="false" ht="16.5" hidden="false" customHeight="true" outlineLevel="0" collapsed="false">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162"/>
      <c r="Z559" s="162"/>
    </row>
    <row r="560" customFormat="false" ht="16.5" hidden="false" customHeight="true" outlineLevel="0" collapsed="false">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162"/>
      <c r="Z560" s="162"/>
    </row>
    <row r="561" customFormat="false" ht="16.5" hidden="false" customHeight="true" outlineLevel="0" collapsed="false">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162"/>
      <c r="Z561" s="162"/>
    </row>
    <row r="562" customFormat="false" ht="16.5" hidden="false" customHeight="true" outlineLevel="0" collapsed="false">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162"/>
      <c r="Z562" s="162"/>
    </row>
    <row r="563" customFormat="false" ht="16.5" hidden="false" customHeight="true" outlineLevel="0" collapsed="false">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162"/>
      <c r="Z563" s="162"/>
    </row>
    <row r="564" customFormat="false" ht="16.5" hidden="false" customHeight="true" outlineLevel="0" collapsed="false">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162"/>
      <c r="Z564" s="162"/>
    </row>
    <row r="565" customFormat="false" ht="16.5" hidden="false" customHeight="true" outlineLevel="0" collapsed="false">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162"/>
      <c r="Z565" s="162"/>
    </row>
    <row r="566" customFormat="false" ht="16.5" hidden="false" customHeight="true" outlineLevel="0" collapsed="false">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162"/>
      <c r="Z566" s="162"/>
    </row>
    <row r="567" customFormat="false" ht="16.5" hidden="false" customHeight="true" outlineLevel="0" collapsed="false">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162"/>
      <c r="Z567" s="162"/>
    </row>
    <row r="568" customFormat="false" ht="16.5" hidden="false" customHeight="true" outlineLevel="0" collapsed="false">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162"/>
      <c r="Z568" s="162"/>
    </row>
    <row r="569" customFormat="false" ht="16.5" hidden="false" customHeight="true" outlineLevel="0" collapsed="false">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162"/>
      <c r="Z569" s="162"/>
    </row>
    <row r="570" customFormat="false" ht="16.5" hidden="false" customHeight="true" outlineLevel="0" collapsed="false">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162"/>
      <c r="Z570" s="162"/>
    </row>
    <row r="571" customFormat="false" ht="16.5" hidden="false" customHeight="true" outlineLevel="0" collapsed="false">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162"/>
      <c r="Z571" s="162"/>
    </row>
    <row r="572" customFormat="false" ht="16.5" hidden="false" customHeight="true" outlineLevel="0" collapsed="false">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162"/>
      <c r="Z572" s="162"/>
    </row>
    <row r="573" customFormat="false" ht="16.5" hidden="false" customHeight="true" outlineLevel="0" collapsed="false">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162"/>
      <c r="Z573" s="162"/>
    </row>
    <row r="574" customFormat="false" ht="16.5" hidden="false" customHeight="true" outlineLevel="0" collapsed="false">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162"/>
      <c r="Z574" s="162"/>
    </row>
    <row r="575" customFormat="false" ht="16.5" hidden="false" customHeight="true" outlineLevel="0" collapsed="false">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162"/>
      <c r="Z575" s="162"/>
    </row>
    <row r="576" customFormat="false" ht="16.5" hidden="false" customHeight="true" outlineLevel="0" collapsed="false">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162"/>
      <c r="Z576" s="162"/>
    </row>
    <row r="577" customFormat="false" ht="16.5" hidden="false" customHeight="true" outlineLevel="0" collapsed="false">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162"/>
      <c r="Z577" s="162"/>
    </row>
    <row r="578" customFormat="false" ht="16.5" hidden="false" customHeight="true" outlineLevel="0" collapsed="false">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162"/>
      <c r="Z578" s="162"/>
    </row>
    <row r="579" customFormat="false" ht="16.5" hidden="false" customHeight="true" outlineLevel="0" collapsed="false">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162"/>
      <c r="Z579" s="162"/>
    </row>
    <row r="580" customFormat="false" ht="16.5" hidden="false" customHeight="true" outlineLevel="0" collapsed="false">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162"/>
      <c r="Z580" s="162"/>
    </row>
    <row r="581" customFormat="false" ht="16.5" hidden="false" customHeight="true" outlineLevel="0" collapsed="false">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162"/>
      <c r="Z581" s="162"/>
    </row>
    <row r="582" customFormat="false" ht="16.5" hidden="false" customHeight="true" outlineLevel="0" collapsed="false">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162"/>
      <c r="Z582" s="162"/>
    </row>
    <row r="583" customFormat="false" ht="16.5" hidden="false" customHeight="true" outlineLevel="0" collapsed="false">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162"/>
      <c r="Z583" s="162"/>
    </row>
    <row r="584" customFormat="false" ht="16.5" hidden="false" customHeight="true" outlineLevel="0" collapsed="false">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162"/>
      <c r="Z584" s="162"/>
    </row>
    <row r="585" customFormat="false" ht="16.5" hidden="false" customHeight="true" outlineLevel="0" collapsed="false">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162"/>
      <c r="Z585" s="162"/>
    </row>
    <row r="586" customFormat="false" ht="16.5" hidden="false" customHeight="true" outlineLevel="0" collapsed="false">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162"/>
      <c r="Z586" s="162"/>
    </row>
    <row r="587" customFormat="false" ht="16.5" hidden="false" customHeight="true" outlineLevel="0" collapsed="false">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162"/>
      <c r="Z587" s="162"/>
    </row>
    <row r="588" customFormat="false" ht="16.5" hidden="false" customHeight="true" outlineLevel="0" collapsed="false">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162"/>
      <c r="Z588" s="162"/>
    </row>
    <row r="589" customFormat="false" ht="16.5" hidden="false" customHeight="true" outlineLevel="0" collapsed="false">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162"/>
      <c r="Z589" s="162"/>
    </row>
    <row r="590" customFormat="false" ht="16.5" hidden="false" customHeight="true" outlineLevel="0" collapsed="false">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162"/>
      <c r="Z590" s="162"/>
    </row>
    <row r="591" customFormat="false" ht="16.5" hidden="false" customHeight="true" outlineLevel="0" collapsed="false">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162"/>
      <c r="Z591" s="162"/>
    </row>
    <row r="592" customFormat="false" ht="16.5" hidden="false" customHeight="true" outlineLevel="0" collapsed="false">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162"/>
      <c r="Z592" s="162"/>
    </row>
    <row r="593" customFormat="false" ht="16.5" hidden="false" customHeight="true" outlineLevel="0" collapsed="false">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162"/>
      <c r="Z593" s="162"/>
    </row>
    <row r="594" customFormat="false" ht="16.5" hidden="false" customHeight="true" outlineLevel="0" collapsed="false">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162"/>
      <c r="Z594" s="162"/>
    </row>
    <row r="595" customFormat="false" ht="16.5" hidden="false" customHeight="true" outlineLevel="0" collapsed="false">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162"/>
      <c r="Z595" s="162"/>
    </row>
    <row r="596" customFormat="false" ht="16.5" hidden="false" customHeight="true" outlineLevel="0" collapsed="false">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162"/>
      <c r="Z596" s="162"/>
    </row>
    <row r="597" customFormat="false" ht="16.5" hidden="false" customHeight="true" outlineLevel="0" collapsed="false">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162"/>
      <c r="Z597" s="162"/>
    </row>
    <row r="598" customFormat="false" ht="16.5" hidden="false" customHeight="true" outlineLevel="0" collapsed="false">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162"/>
      <c r="Z598" s="162"/>
    </row>
    <row r="599" customFormat="false" ht="16.5" hidden="false" customHeight="true" outlineLevel="0" collapsed="false">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162"/>
      <c r="Z599" s="162"/>
    </row>
    <row r="600" customFormat="false" ht="16.5" hidden="false" customHeight="true" outlineLevel="0" collapsed="false">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162"/>
      <c r="Z600" s="162"/>
    </row>
    <row r="601" customFormat="false" ht="16.5" hidden="false" customHeight="true" outlineLevel="0" collapsed="false">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162"/>
      <c r="Z601" s="162"/>
    </row>
    <row r="602" customFormat="false" ht="16.5" hidden="false" customHeight="true" outlineLevel="0" collapsed="false">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162"/>
      <c r="Z602" s="162"/>
    </row>
    <row r="603" customFormat="false" ht="16.5" hidden="false" customHeight="true" outlineLevel="0" collapsed="false">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162"/>
      <c r="Z603" s="162"/>
    </row>
    <row r="604" customFormat="false" ht="16.5" hidden="false" customHeight="true" outlineLevel="0" collapsed="false">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162"/>
      <c r="Z604" s="162"/>
    </row>
    <row r="605" customFormat="false" ht="16.5" hidden="false" customHeight="true" outlineLevel="0" collapsed="false">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162"/>
      <c r="Z605" s="162"/>
    </row>
    <row r="606" customFormat="false" ht="16.5" hidden="false" customHeight="true" outlineLevel="0" collapsed="false">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162"/>
      <c r="Z606" s="162"/>
    </row>
    <row r="607" customFormat="false" ht="16.5" hidden="false" customHeight="true" outlineLevel="0" collapsed="false">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162"/>
      <c r="Z607" s="162"/>
    </row>
    <row r="608" customFormat="false" ht="16.5" hidden="false" customHeight="true" outlineLevel="0" collapsed="false">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162"/>
      <c r="Z608" s="162"/>
    </row>
    <row r="609" customFormat="false" ht="16.5" hidden="false" customHeight="true" outlineLevel="0" collapsed="false">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162"/>
      <c r="Z609" s="162"/>
    </row>
    <row r="610" customFormat="false" ht="16.5" hidden="false" customHeight="true" outlineLevel="0" collapsed="false">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162"/>
      <c r="Z610" s="162"/>
    </row>
    <row r="611" customFormat="false" ht="16.5" hidden="false" customHeight="true" outlineLevel="0" collapsed="false">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162"/>
      <c r="Z611" s="162"/>
    </row>
    <row r="612" customFormat="false" ht="16.5" hidden="false" customHeight="true" outlineLevel="0" collapsed="false">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162"/>
      <c r="Z612" s="162"/>
    </row>
    <row r="613" customFormat="false" ht="16.5" hidden="false" customHeight="true" outlineLevel="0" collapsed="false">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162"/>
      <c r="Z613" s="162"/>
    </row>
    <row r="614" customFormat="false" ht="16.5" hidden="false" customHeight="true" outlineLevel="0" collapsed="false">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162"/>
      <c r="Z614" s="162"/>
    </row>
    <row r="615" customFormat="false" ht="16.5" hidden="false" customHeight="true" outlineLevel="0" collapsed="false">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162"/>
      <c r="Z615" s="162"/>
    </row>
    <row r="616" customFormat="false" ht="16.5" hidden="false" customHeight="true" outlineLevel="0" collapsed="false">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162"/>
      <c r="Z616" s="162"/>
    </row>
    <row r="617" customFormat="false" ht="16.5" hidden="false" customHeight="true" outlineLevel="0" collapsed="false">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162"/>
      <c r="Z617" s="162"/>
    </row>
    <row r="618" customFormat="false" ht="16.5" hidden="false" customHeight="true" outlineLevel="0" collapsed="false">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162"/>
      <c r="Z618" s="162"/>
    </row>
    <row r="619" customFormat="false" ht="16.5" hidden="false" customHeight="true" outlineLevel="0" collapsed="false">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162"/>
      <c r="Z619" s="162"/>
    </row>
    <row r="620" customFormat="false" ht="16.5" hidden="false" customHeight="true" outlineLevel="0" collapsed="false">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162"/>
      <c r="Z620" s="162"/>
    </row>
    <row r="621" customFormat="false" ht="16.5" hidden="false" customHeight="true" outlineLevel="0" collapsed="false">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162"/>
      <c r="Z621" s="162"/>
    </row>
    <row r="622" customFormat="false" ht="16.5" hidden="false" customHeight="true" outlineLevel="0" collapsed="false">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162"/>
      <c r="Z622" s="162"/>
    </row>
    <row r="623" customFormat="false" ht="16.5" hidden="false" customHeight="true" outlineLevel="0" collapsed="false">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162"/>
      <c r="Z623" s="162"/>
    </row>
    <row r="624" customFormat="false" ht="16.5" hidden="false" customHeight="true" outlineLevel="0" collapsed="false">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162"/>
      <c r="Z624" s="162"/>
    </row>
    <row r="625" customFormat="false" ht="16.5" hidden="false" customHeight="true" outlineLevel="0" collapsed="false">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162"/>
      <c r="Z625" s="162"/>
    </row>
    <row r="626" customFormat="false" ht="16.5" hidden="false" customHeight="true" outlineLevel="0" collapsed="false">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162"/>
      <c r="Z626" s="162"/>
    </row>
    <row r="627" customFormat="false" ht="16.5" hidden="false" customHeight="true" outlineLevel="0" collapsed="false">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162"/>
      <c r="Z627" s="162"/>
    </row>
    <row r="628" customFormat="false" ht="16.5" hidden="false" customHeight="true" outlineLevel="0" collapsed="false">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162"/>
      <c r="Z628" s="162"/>
    </row>
    <row r="629" customFormat="false" ht="16.5" hidden="false" customHeight="true" outlineLevel="0" collapsed="false">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162"/>
      <c r="Z629" s="162"/>
    </row>
    <row r="630" customFormat="false" ht="16.5" hidden="false" customHeight="true" outlineLevel="0" collapsed="false">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162"/>
      <c r="Z630" s="162"/>
    </row>
    <row r="631" customFormat="false" ht="16.5" hidden="false" customHeight="true" outlineLevel="0" collapsed="false">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162"/>
      <c r="Z631" s="162"/>
    </row>
    <row r="632" customFormat="false" ht="16.5" hidden="false" customHeight="true" outlineLevel="0" collapsed="false">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162"/>
      <c r="Z632" s="162"/>
    </row>
    <row r="633" customFormat="false" ht="16.5" hidden="false" customHeight="true" outlineLevel="0" collapsed="false">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162"/>
      <c r="Z633" s="162"/>
    </row>
    <row r="634" customFormat="false" ht="16.5" hidden="false" customHeight="true" outlineLevel="0" collapsed="false">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162"/>
      <c r="Z634" s="162"/>
    </row>
    <row r="635" customFormat="false" ht="16.5" hidden="false" customHeight="true" outlineLevel="0" collapsed="false">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162"/>
      <c r="Z635" s="162"/>
    </row>
    <row r="636" customFormat="false" ht="16.5" hidden="false" customHeight="true" outlineLevel="0" collapsed="false">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162"/>
      <c r="Z636" s="162"/>
    </row>
    <row r="637" customFormat="false" ht="16.5" hidden="false" customHeight="true" outlineLevel="0" collapsed="false">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162"/>
      <c r="Z637" s="162"/>
    </row>
    <row r="638" customFormat="false" ht="16.5" hidden="false" customHeight="true" outlineLevel="0" collapsed="false">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162"/>
      <c r="Z638" s="162"/>
    </row>
    <row r="639" customFormat="false" ht="16.5" hidden="false" customHeight="true" outlineLevel="0" collapsed="false">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162"/>
      <c r="Z639" s="162"/>
    </row>
    <row r="640" customFormat="false" ht="16.5" hidden="false" customHeight="true" outlineLevel="0" collapsed="false">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162"/>
      <c r="Z640" s="162"/>
    </row>
    <row r="641" customFormat="false" ht="16.5" hidden="false" customHeight="true" outlineLevel="0" collapsed="false">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162"/>
      <c r="Z641" s="162"/>
    </row>
    <row r="642" customFormat="false" ht="16.5" hidden="false" customHeight="true" outlineLevel="0" collapsed="false">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162"/>
      <c r="Z642" s="162"/>
    </row>
    <row r="643" customFormat="false" ht="16.5" hidden="false" customHeight="true" outlineLevel="0" collapsed="false">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162"/>
      <c r="Z643" s="162"/>
    </row>
    <row r="644" customFormat="false" ht="16.5" hidden="false" customHeight="true" outlineLevel="0" collapsed="false">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162"/>
      <c r="Z644" s="162"/>
    </row>
    <row r="645" customFormat="false" ht="16.5" hidden="false" customHeight="true" outlineLevel="0" collapsed="false">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162"/>
      <c r="Z645" s="162"/>
    </row>
    <row r="646" customFormat="false" ht="16.5" hidden="false" customHeight="true" outlineLevel="0" collapsed="false">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162"/>
      <c r="Z646" s="162"/>
    </row>
    <row r="647" customFormat="false" ht="16.5" hidden="false" customHeight="true" outlineLevel="0" collapsed="false">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162"/>
      <c r="Z647" s="162"/>
    </row>
    <row r="648" customFormat="false" ht="16.5" hidden="false" customHeight="true" outlineLevel="0" collapsed="false">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162"/>
      <c r="Z648" s="162"/>
    </row>
    <row r="649" customFormat="false" ht="16.5" hidden="false" customHeight="true" outlineLevel="0" collapsed="false">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162"/>
      <c r="Z649" s="162"/>
    </row>
    <row r="650" customFormat="false" ht="16.5" hidden="false" customHeight="true" outlineLevel="0" collapsed="false">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162"/>
      <c r="Z650" s="162"/>
    </row>
    <row r="651" customFormat="false" ht="16.5" hidden="false" customHeight="true" outlineLevel="0" collapsed="false">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162"/>
      <c r="Z651" s="162"/>
    </row>
    <row r="652" customFormat="false" ht="16.5" hidden="false" customHeight="true" outlineLevel="0" collapsed="false">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162"/>
      <c r="Z652" s="162"/>
    </row>
    <row r="653" customFormat="false" ht="16.5" hidden="false" customHeight="true" outlineLevel="0" collapsed="false">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162"/>
      <c r="Z653" s="162"/>
    </row>
    <row r="654" customFormat="false" ht="16.5" hidden="false" customHeight="true" outlineLevel="0" collapsed="false">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162"/>
      <c r="Z654" s="162"/>
    </row>
    <row r="655" customFormat="false" ht="16.5" hidden="false" customHeight="true" outlineLevel="0" collapsed="false">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162"/>
      <c r="Z655" s="162"/>
    </row>
    <row r="656" customFormat="false" ht="16.5" hidden="false" customHeight="true" outlineLevel="0" collapsed="false">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162"/>
      <c r="Z656" s="162"/>
    </row>
    <row r="657" customFormat="false" ht="16.5" hidden="false" customHeight="true" outlineLevel="0" collapsed="false">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162"/>
      <c r="Z657" s="162"/>
    </row>
    <row r="658" customFormat="false" ht="16.5" hidden="false" customHeight="true" outlineLevel="0" collapsed="false">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162"/>
      <c r="Z658" s="162"/>
    </row>
    <row r="659" customFormat="false" ht="16.5" hidden="false" customHeight="true" outlineLevel="0" collapsed="false">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162"/>
      <c r="Z659" s="162"/>
    </row>
    <row r="660" customFormat="false" ht="16.5" hidden="false" customHeight="true" outlineLevel="0" collapsed="false">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162"/>
      <c r="Z660" s="162"/>
    </row>
    <row r="661" customFormat="false" ht="16.5" hidden="false" customHeight="true" outlineLevel="0" collapsed="false">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162"/>
      <c r="Z661" s="162"/>
    </row>
    <row r="662" customFormat="false" ht="16.5" hidden="false" customHeight="true" outlineLevel="0" collapsed="false">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162"/>
      <c r="Z662" s="162"/>
    </row>
    <row r="663" customFormat="false" ht="16.5" hidden="false" customHeight="true" outlineLevel="0" collapsed="false">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162"/>
      <c r="Z663" s="162"/>
    </row>
    <row r="664" customFormat="false" ht="16.5" hidden="false" customHeight="true" outlineLevel="0" collapsed="false">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162"/>
      <c r="Z664" s="162"/>
    </row>
    <row r="665" customFormat="false" ht="16.5" hidden="false" customHeight="true" outlineLevel="0" collapsed="false">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162"/>
      <c r="Z665" s="162"/>
    </row>
    <row r="666" customFormat="false" ht="16.5" hidden="false" customHeight="true" outlineLevel="0" collapsed="false">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162"/>
      <c r="Z666" s="162"/>
    </row>
    <row r="667" customFormat="false" ht="16.5" hidden="false" customHeight="true" outlineLevel="0" collapsed="false">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162"/>
      <c r="Z667" s="162"/>
    </row>
    <row r="668" customFormat="false" ht="16.5" hidden="false" customHeight="true" outlineLevel="0" collapsed="false">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162"/>
      <c r="Z668" s="162"/>
    </row>
    <row r="669" customFormat="false" ht="16.5" hidden="false" customHeight="true" outlineLevel="0" collapsed="false">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162"/>
      <c r="Z669" s="162"/>
    </row>
    <row r="670" customFormat="false" ht="16.5" hidden="false" customHeight="true" outlineLevel="0" collapsed="false">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162"/>
      <c r="Z670" s="162"/>
    </row>
    <row r="671" customFormat="false" ht="16.5" hidden="false" customHeight="true" outlineLevel="0" collapsed="false">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162"/>
      <c r="Z671" s="162"/>
    </row>
    <row r="672" customFormat="false" ht="16.5" hidden="false" customHeight="true" outlineLevel="0" collapsed="false">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162"/>
      <c r="Z672" s="162"/>
    </row>
    <row r="673" customFormat="false" ht="16.5" hidden="false" customHeight="true" outlineLevel="0" collapsed="false">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162"/>
      <c r="Z673" s="162"/>
    </row>
    <row r="674" customFormat="false" ht="16.5" hidden="false" customHeight="true" outlineLevel="0" collapsed="false">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162"/>
      <c r="Z674" s="162"/>
    </row>
    <row r="675" customFormat="false" ht="16.5" hidden="false" customHeight="true" outlineLevel="0" collapsed="false">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162"/>
      <c r="Z675" s="162"/>
    </row>
    <row r="676" customFormat="false" ht="16.5" hidden="false" customHeight="true" outlineLevel="0" collapsed="false">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162"/>
      <c r="Z676" s="162"/>
    </row>
    <row r="677" customFormat="false" ht="16.5" hidden="false" customHeight="true" outlineLevel="0" collapsed="false">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162"/>
      <c r="Z677" s="162"/>
    </row>
    <row r="678" customFormat="false" ht="16.5" hidden="false" customHeight="true" outlineLevel="0" collapsed="false">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162"/>
      <c r="Z678" s="162"/>
    </row>
    <row r="679" customFormat="false" ht="16.5" hidden="false" customHeight="true" outlineLevel="0" collapsed="false">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162"/>
      <c r="Z679" s="162"/>
    </row>
    <row r="680" customFormat="false" ht="16.5" hidden="false" customHeight="true" outlineLevel="0" collapsed="false">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162"/>
      <c r="Z680" s="162"/>
    </row>
    <row r="681" customFormat="false" ht="16.5" hidden="false" customHeight="true" outlineLevel="0" collapsed="false">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162"/>
      <c r="Z681" s="162"/>
    </row>
    <row r="682" customFormat="false" ht="16.5" hidden="false" customHeight="true" outlineLevel="0" collapsed="false">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162"/>
      <c r="Z682" s="162"/>
    </row>
    <row r="683" customFormat="false" ht="16.5" hidden="false" customHeight="true" outlineLevel="0" collapsed="false">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162"/>
      <c r="Z683" s="162"/>
    </row>
    <row r="684" customFormat="false" ht="16.5" hidden="false" customHeight="true" outlineLevel="0" collapsed="false">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162"/>
      <c r="Z684" s="162"/>
    </row>
    <row r="685" customFormat="false" ht="16.5" hidden="false" customHeight="true" outlineLevel="0" collapsed="false">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162"/>
      <c r="Z685" s="162"/>
    </row>
    <row r="686" customFormat="false" ht="16.5" hidden="false" customHeight="true" outlineLevel="0" collapsed="false">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162"/>
      <c r="Z686" s="162"/>
    </row>
    <row r="687" customFormat="false" ht="16.5" hidden="false" customHeight="true" outlineLevel="0" collapsed="false">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162"/>
      <c r="Z687" s="162"/>
    </row>
    <row r="688" customFormat="false" ht="16.5" hidden="false" customHeight="true" outlineLevel="0" collapsed="false">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162"/>
      <c r="Z688" s="162"/>
    </row>
    <row r="689" customFormat="false" ht="16.5" hidden="false" customHeight="true" outlineLevel="0" collapsed="false">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162"/>
      <c r="Z689" s="162"/>
    </row>
    <row r="690" customFormat="false" ht="16.5" hidden="false" customHeight="true" outlineLevel="0" collapsed="false">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162"/>
      <c r="Z690" s="162"/>
    </row>
    <row r="691" customFormat="false" ht="16.5" hidden="false" customHeight="true" outlineLevel="0" collapsed="false">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162"/>
      <c r="Z691" s="162"/>
    </row>
    <row r="692" customFormat="false" ht="16.5" hidden="false" customHeight="true" outlineLevel="0" collapsed="false">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162"/>
      <c r="Z692" s="162"/>
    </row>
    <row r="693" customFormat="false" ht="16.5" hidden="false" customHeight="true" outlineLevel="0" collapsed="false">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162"/>
      <c r="Z693" s="162"/>
    </row>
    <row r="694" customFormat="false" ht="16.5" hidden="false" customHeight="true" outlineLevel="0" collapsed="false">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162"/>
      <c r="Z694" s="162"/>
    </row>
    <row r="695" customFormat="false" ht="16.5" hidden="false" customHeight="true" outlineLevel="0" collapsed="false">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162"/>
      <c r="Z695" s="162"/>
    </row>
    <row r="696" customFormat="false" ht="16.5" hidden="false" customHeight="true" outlineLevel="0" collapsed="false">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162"/>
      <c r="Z696" s="162"/>
    </row>
    <row r="697" customFormat="false" ht="16.5" hidden="false" customHeight="true" outlineLevel="0" collapsed="false">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162"/>
      <c r="Z697" s="162"/>
    </row>
    <row r="698" customFormat="false" ht="16.5" hidden="false" customHeight="true" outlineLevel="0" collapsed="false">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162"/>
      <c r="Z698" s="162"/>
    </row>
    <row r="699" customFormat="false" ht="16.5" hidden="false" customHeight="true" outlineLevel="0" collapsed="false">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162"/>
      <c r="Z699" s="162"/>
    </row>
    <row r="700" customFormat="false" ht="16.5" hidden="false" customHeight="true" outlineLevel="0" collapsed="false">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162"/>
      <c r="Z700" s="162"/>
    </row>
    <row r="701" customFormat="false" ht="16.5" hidden="false" customHeight="true" outlineLevel="0" collapsed="false">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162"/>
      <c r="Z701" s="162"/>
    </row>
    <row r="702" customFormat="false" ht="16.5" hidden="false" customHeight="true" outlineLevel="0" collapsed="false">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162"/>
      <c r="Z702" s="162"/>
    </row>
    <row r="703" customFormat="false" ht="16.5" hidden="false" customHeight="true" outlineLevel="0" collapsed="false">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162"/>
      <c r="Z703" s="162"/>
    </row>
    <row r="704" customFormat="false" ht="16.5" hidden="false" customHeight="true" outlineLevel="0" collapsed="false">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162"/>
      <c r="Z704" s="162"/>
    </row>
    <row r="705" customFormat="false" ht="16.5" hidden="false" customHeight="true" outlineLevel="0" collapsed="false">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162"/>
      <c r="Z705" s="162"/>
    </row>
    <row r="706" customFormat="false" ht="16.5" hidden="false" customHeight="true" outlineLevel="0" collapsed="false">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162"/>
      <c r="Z706" s="162"/>
    </row>
    <row r="707" customFormat="false" ht="16.5" hidden="false" customHeight="true" outlineLevel="0" collapsed="false">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162"/>
      <c r="Z707" s="162"/>
    </row>
    <row r="708" customFormat="false" ht="16.5" hidden="false" customHeight="true" outlineLevel="0" collapsed="false">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162"/>
      <c r="Z708" s="162"/>
    </row>
    <row r="709" customFormat="false" ht="16.5" hidden="false" customHeight="true" outlineLevel="0" collapsed="false">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162"/>
      <c r="Z709" s="162"/>
    </row>
    <row r="710" customFormat="false" ht="16.5" hidden="false" customHeight="true" outlineLevel="0" collapsed="false">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162"/>
      <c r="Z710" s="162"/>
    </row>
    <row r="711" customFormat="false" ht="16.5" hidden="false" customHeight="true" outlineLevel="0" collapsed="false">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162"/>
      <c r="Z711" s="162"/>
    </row>
    <row r="712" customFormat="false" ht="16.5" hidden="false" customHeight="true" outlineLevel="0" collapsed="false">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162"/>
      <c r="Z712" s="162"/>
    </row>
    <row r="713" customFormat="false" ht="16.5" hidden="false" customHeight="true" outlineLevel="0" collapsed="false">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162"/>
      <c r="Z713" s="162"/>
    </row>
    <row r="714" customFormat="false" ht="16.5" hidden="false" customHeight="true" outlineLevel="0" collapsed="false">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162"/>
      <c r="Z714" s="162"/>
    </row>
    <row r="715" customFormat="false" ht="16.5" hidden="false" customHeight="true" outlineLevel="0" collapsed="false">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162"/>
      <c r="Z715" s="162"/>
    </row>
    <row r="716" customFormat="false" ht="16.5" hidden="false" customHeight="true" outlineLevel="0" collapsed="false">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162"/>
      <c r="Z716" s="162"/>
    </row>
    <row r="717" customFormat="false" ht="16.5" hidden="false" customHeight="true" outlineLevel="0" collapsed="false">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162"/>
      <c r="Z717" s="162"/>
    </row>
    <row r="718" customFormat="false" ht="16.5" hidden="false" customHeight="true" outlineLevel="0" collapsed="false">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162"/>
      <c r="Z718" s="162"/>
    </row>
    <row r="719" customFormat="false" ht="16.5" hidden="false" customHeight="true" outlineLevel="0" collapsed="false">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162"/>
      <c r="Z719" s="162"/>
    </row>
    <row r="720" customFormat="false" ht="16.5" hidden="false" customHeight="true" outlineLevel="0" collapsed="false">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162"/>
      <c r="Z720" s="162"/>
    </row>
    <row r="721" customFormat="false" ht="16.5" hidden="false" customHeight="true" outlineLevel="0" collapsed="false">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162"/>
      <c r="Z721" s="162"/>
    </row>
    <row r="722" customFormat="false" ht="16.5" hidden="false" customHeight="true" outlineLevel="0" collapsed="false">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162"/>
      <c r="Z722" s="162"/>
    </row>
    <row r="723" customFormat="false" ht="16.5" hidden="false" customHeight="true" outlineLevel="0" collapsed="false">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162"/>
      <c r="Z723" s="162"/>
    </row>
    <row r="724" customFormat="false" ht="16.5" hidden="false" customHeight="true" outlineLevel="0" collapsed="false">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162"/>
      <c r="Z724" s="162"/>
    </row>
    <row r="725" customFormat="false" ht="16.5" hidden="false" customHeight="true" outlineLevel="0" collapsed="false">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162"/>
      <c r="Z725" s="162"/>
    </row>
    <row r="726" customFormat="false" ht="16.5" hidden="false" customHeight="true" outlineLevel="0" collapsed="false">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162"/>
      <c r="Z726" s="162"/>
    </row>
    <row r="727" customFormat="false" ht="16.5" hidden="false" customHeight="true" outlineLevel="0" collapsed="false">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162"/>
      <c r="Z727" s="162"/>
    </row>
    <row r="728" customFormat="false" ht="16.5" hidden="false" customHeight="true" outlineLevel="0" collapsed="false">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162"/>
      <c r="Z728" s="162"/>
    </row>
    <row r="729" customFormat="false" ht="16.5" hidden="false" customHeight="true" outlineLevel="0" collapsed="false">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162"/>
      <c r="Z729" s="162"/>
    </row>
    <row r="730" customFormat="false" ht="16.5" hidden="false" customHeight="true" outlineLevel="0" collapsed="false">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162"/>
      <c r="Z730" s="162"/>
    </row>
    <row r="731" customFormat="false" ht="16.5" hidden="false" customHeight="true" outlineLevel="0" collapsed="false">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162"/>
      <c r="Z731" s="162"/>
    </row>
    <row r="732" customFormat="false" ht="16.5" hidden="false" customHeight="true" outlineLevel="0" collapsed="false">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162"/>
      <c r="Z732" s="162"/>
    </row>
    <row r="733" customFormat="false" ht="16.5" hidden="false" customHeight="true" outlineLevel="0" collapsed="false">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162"/>
      <c r="Z733" s="162"/>
    </row>
    <row r="734" customFormat="false" ht="16.5" hidden="false" customHeight="true" outlineLevel="0" collapsed="false">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162"/>
      <c r="Z734" s="162"/>
    </row>
    <row r="735" customFormat="false" ht="16.5" hidden="false" customHeight="true" outlineLevel="0" collapsed="false">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162"/>
      <c r="Z735" s="162"/>
    </row>
    <row r="736" customFormat="false" ht="16.5" hidden="false" customHeight="true" outlineLevel="0" collapsed="false">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162"/>
      <c r="Z736" s="162"/>
    </row>
    <row r="737" customFormat="false" ht="16.5" hidden="false" customHeight="true" outlineLevel="0" collapsed="false">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162"/>
      <c r="Z737" s="162"/>
    </row>
    <row r="738" customFormat="false" ht="16.5" hidden="false" customHeight="true" outlineLevel="0" collapsed="false">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162"/>
      <c r="Z738" s="162"/>
    </row>
    <row r="739" customFormat="false" ht="16.5" hidden="false" customHeight="true" outlineLevel="0" collapsed="false">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162"/>
      <c r="Z739" s="162"/>
    </row>
    <row r="740" customFormat="false" ht="16.5" hidden="false" customHeight="true" outlineLevel="0" collapsed="false">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162"/>
      <c r="Z740" s="162"/>
    </row>
    <row r="741" customFormat="false" ht="16.5" hidden="false" customHeight="true" outlineLevel="0" collapsed="false">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162"/>
      <c r="Z741" s="162"/>
    </row>
    <row r="742" customFormat="false" ht="16.5" hidden="false" customHeight="true" outlineLevel="0" collapsed="false">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162"/>
      <c r="Z742" s="162"/>
    </row>
    <row r="743" customFormat="false" ht="16.5" hidden="false" customHeight="true" outlineLevel="0" collapsed="false">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162"/>
      <c r="Z743" s="162"/>
    </row>
    <row r="744" customFormat="false" ht="16.5" hidden="false" customHeight="true" outlineLevel="0" collapsed="false">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162"/>
      <c r="Z744" s="162"/>
    </row>
    <row r="745" customFormat="false" ht="16.5" hidden="false" customHeight="true" outlineLevel="0" collapsed="false">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162"/>
      <c r="Z745" s="162"/>
    </row>
    <row r="746" customFormat="false" ht="16.5" hidden="false" customHeight="true" outlineLevel="0" collapsed="false">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162"/>
      <c r="Z746" s="162"/>
    </row>
    <row r="747" customFormat="false" ht="16.5" hidden="false" customHeight="true" outlineLevel="0" collapsed="false">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162"/>
      <c r="Z747" s="162"/>
    </row>
    <row r="748" customFormat="false" ht="16.5" hidden="false" customHeight="true" outlineLevel="0" collapsed="false">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162"/>
      <c r="Z748" s="162"/>
    </row>
    <row r="749" customFormat="false" ht="16.5" hidden="false" customHeight="true" outlineLevel="0" collapsed="false">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162"/>
      <c r="Z749" s="162"/>
    </row>
    <row r="750" customFormat="false" ht="16.5" hidden="false" customHeight="true" outlineLevel="0" collapsed="false">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162"/>
      <c r="Z750" s="162"/>
    </row>
    <row r="751" customFormat="false" ht="16.5" hidden="false" customHeight="true" outlineLevel="0" collapsed="false">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162"/>
      <c r="Z751" s="162"/>
    </row>
    <row r="752" customFormat="false" ht="16.5" hidden="false" customHeight="true" outlineLevel="0" collapsed="false">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162"/>
      <c r="Z752" s="162"/>
    </row>
    <row r="753" customFormat="false" ht="16.5" hidden="false" customHeight="true" outlineLevel="0" collapsed="false">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162"/>
      <c r="Z753" s="162"/>
    </row>
    <row r="754" customFormat="false" ht="16.5" hidden="false" customHeight="true" outlineLevel="0" collapsed="false">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162"/>
      <c r="Z754" s="162"/>
    </row>
    <row r="755" customFormat="false" ht="16.5" hidden="false" customHeight="true" outlineLevel="0" collapsed="false">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162"/>
      <c r="Z755" s="162"/>
    </row>
    <row r="756" customFormat="false" ht="16.5" hidden="false" customHeight="true" outlineLevel="0" collapsed="false">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162"/>
      <c r="Z756" s="162"/>
    </row>
    <row r="757" customFormat="false" ht="16.5" hidden="false" customHeight="true" outlineLevel="0" collapsed="false">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162"/>
      <c r="Z757" s="162"/>
    </row>
    <row r="758" customFormat="false" ht="16.5" hidden="false" customHeight="true" outlineLevel="0" collapsed="false">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162"/>
      <c r="Z758" s="162"/>
    </row>
    <row r="759" customFormat="false" ht="16.5" hidden="false" customHeight="true" outlineLevel="0" collapsed="false">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162"/>
      <c r="Z759" s="162"/>
    </row>
    <row r="760" customFormat="false" ht="16.5" hidden="false" customHeight="true" outlineLevel="0" collapsed="false">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162"/>
      <c r="Z760" s="162"/>
    </row>
    <row r="761" customFormat="false" ht="16.5" hidden="false" customHeight="true" outlineLevel="0" collapsed="false">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162"/>
      <c r="Z761" s="162"/>
    </row>
    <row r="762" customFormat="false" ht="16.5" hidden="false" customHeight="true" outlineLevel="0" collapsed="false">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162"/>
      <c r="Z762" s="162"/>
    </row>
    <row r="763" customFormat="false" ht="16.5" hidden="false" customHeight="true" outlineLevel="0" collapsed="false">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162"/>
      <c r="Z763" s="162"/>
    </row>
    <row r="764" customFormat="false" ht="16.5" hidden="false" customHeight="true" outlineLevel="0" collapsed="false">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162"/>
      <c r="Z764" s="162"/>
    </row>
    <row r="765" customFormat="false" ht="16.5" hidden="false" customHeight="true" outlineLevel="0" collapsed="false">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162"/>
      <c r="Z765" s="162"/>
    </row>
    <row r="766" customFormat="false" ht="16.5" hidden="false" customHeight="true" outlineLevel="0" collapsed="false">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162"/>
      <c r="Z766" s="162"/>
    </row>
    <row r="767" customFormat="false" ht="16.5" hidden="false" customHeight="true" outlineLevel="0" collapsed="false">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162"/>
      <c r="Z767" s="162"/>
    </row>
    <row r="768" customFormat="false" ht="16.5" hidden="false" customHeight="true" outlineLevel="0" collapsed="false">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162"/>
      <c r="Z768" s="162"/>
    </row>
    <row r="769" customFormat="false" ht="16.5" hidden="false" customHeight="true" outlineLevel="0" collapsed="false">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162"/>
      <c r="Z769" s="162"/>
    </row>
    <row r="770" customFormat="false" ht="16.5" hidden="false" customHeight="true" outlineLevel="0" collapsed="false">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162"/>
      <c r="Z770" s="162"/>
    </row>
    <row r="771" customFormat="false" ht="16.5" hidden="false" customHeight="true" outlineLevel="0" collapsed="false">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162"/>
      <c r="Z771" s="162"/>
    </row>
    <row r="772" customFormat="false" ht="16.5" hidden="false" customHeight="true" outlineLevel="0" collapsed="false">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162"/>
      <c r="Z772" s="162"/>
    </row>
    <row r="773" customFormat="false" ht="16.5" hidden="false" customHeight="true" outlineLevel="0" collapsed="false">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162"/>
      <c r="Z773" s="162"/>
    </row>
    <row r="774" customFormat="false" ht="16.5" hidden="false" customHeight="true" outlineLevel="0" collapsed="false">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162"/>
      <c r="Z774" s="162"/>
    </row>
    <row r="775" customFormat="false" ht="16.5" hidden="false" customHeight="true" outlineLevel="0" collapsed="false">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162"/>
      <c r="Z775" s="162"/>
    </row>
    <row r="776" customFormat="false" ht="16.5" hidden="false" customHeight="true" outlineLevel="0" collapsed="false">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162"/>
      <c r="Z776" s="162"/>
    </row>
    <row r="777" customFormat="false" ht="16.5" hidden="false" customHeight="true" outlineLevel="0" collapsed="false">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162"/>
      <c r="Z777" s="162"/>
    </row>
    <row r="778" customFormat="false" ht="16.5" hidden="false" customHeight="true" outlineLevel="0" collapsed="false">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162"/>
      <c r="Z778" s="162"/>
    </row>
    <row r="779" customFormat="false" ht="16.5" hidden="false" customHeight="true" outlineLevel="0" collapsed="false">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162"/>
      <c r="Z779" s="162"/>
    </row>
    <row r="780" customFormat="false" ht="16.5" hidden="false" customHeight="true" outlineLevel="0" collapsed="false">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162"/>
      <c r="Z780" s="162"/>
    </row>
    <row r="781" customFormat="false" ht="16.5" hidden="false" customHeight="true" outlineLevel="0" collapsed="false">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162"/>
      <c r="Z781" s="162"/>
    </row>
    <row r="782" customFormat="false" ht="16.5" hidden="false" customHeight="true" outlineLevel="0" collapsed="false">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162"/>
      <c r="Z782" s="162"/>
    </row>
    <row r="783" customFormat="false" ht="16.5" hidden="false" customHeight="true" outlineLevel="0" collapsed="false">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162"/>
      <c r="Z783" s="162"/>
    </row>
    <row r="784" customFormat="false" ht="16.5" hidden="false" customHeight="true" outlineLevel="0" collapsed="false">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162"/>
      <c r="Z784" s="162"/>
    </row>
    <row r="785" customFormat="false" ht="16.5" hidden="false" customHeight="true" outlineLevel="0" collapsed="false">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162"/>
      <c r="Z785" s="162"/>
    </row>
    <row r="786" customFormat="false" ht="16.5" hidden="false" customHeight="true" outlineLevel="0" collapsed="false">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162"/>
      <c r="Z786" s="162"/>
    </row>
    <row r="787" customFormat="false" ht="16.5" hidden="false" customHeight="true" outlineLevel="0" collapsed="false">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162"/>
      <c r="Z787" s="162"/>
    </row>
    <row r="788" customFormat="false" ht="16.5" hidden="false" customHeight="true" outlineLevel="0" collapsed="false">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162"/>
      <c r="Z788" s="162"/>
    </row>
    <row r="789" customFormat="false" ht="16.5" hidden="false" customHeight="true" outlineLevel="0" collapsed="false">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162"/>
      <c r="Z789" s="162"/>
    </row>
    <row r="790" customFormat="false" ht="16.5" hidden="false" customHeight="true" outlineLevel="0" collapsed="false">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162"/>
      <c r="Z790" s="162"/>
    </row>
    <row r="791" customFormat="false" ht="16.5" hidden="false" customHeight="true" outlineLevel="0" collapsed="false">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162"/>
      <c r="Z791" s="162"/>
    </row>
    <row r="792" customFormat="false" ht="16.5" hidden="false" customHeight="true" outlineLevel="0" collapsed="false">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162"/>
      <c r="Z792" s="162"/>
    </row>
    <row r="793" customFormat="false" ht="16.5" hidden="false" customHeight="true" outlineLevel="0" collapsed="false">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162"/>
      <c r="Z793" s="162"/>
    </row>
    <row r="794" customFormat="false" ht="16.5" hidden="false" customHeight="true" outlineLevel="0" collapsed="false">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162"/>
      <c r="Z794" s="162"/>
    </row>
    <row r="795" customFormat="false" ht="16.5" hidden="false" customHeight="true" outlineLevel="0" collapsed="false">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162"/>
      <c r="Z795" s="162"/>
    </row>
    <row r="796" customFormat="false" ht="16.5" hidden="false" customHeight="true" outlineLevel="0" collapsed="false">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162"/>
      <c r="Z796" s="162"/>
    </row>
    <row r="797" customFormat="false" ht="16.5" hidden="false" customHeight="true" outlineLevel="0" collapsed="false">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162"/>
      <c r="Z797" s="162"/>
    </row>
    <row r="798" customFormat="false" ht="16.5" hidden="false" customHeight="true" outlineLevel="0" collapsed="false">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162"/>
      <c r="Z798" s="162"/>
    </row>
    <row r="799" customFormat="false" ht="16.5" hidden="false" customHeight="true" outlineLevel="0" collapsed="false">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162"/>
      <c r="Z799" s="162"/>
    </row>
    <row r="800" customFormat="false" ht="16.5" hidden="false" customHeight="true" outlineLevel="0" collapsed="false">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162"/>
      <c r="Z800" s="162"/>
    </row>
    <row r="801" customFormat="false" ht="16.5" hidden="false" customHeight="true" outlineLevel="0" collapsed="false">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162"/>
      <c r="Z801" s="162"/>
    </row>
    <row r="802" customFormat="false" ht="16.5" hidden="false" customHeight="true" outlineLevel="0" collapsed="false">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162"/>
      <c r="Z802" s="162"/>
    </row>
    <row r="803" customFormat="false" ht="16.5" hidden="false" customHeight="true" outlineLevel="0" collapsed="false">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162"/>
      <c r="Z803" s="162"/>
    </row>
    <row r="804" customFormat="false" ht="16.5" hidden="false" customHeight="true" outlineLevel="0" collapsed="false">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162"/>
      <c r="Z804" s="162"/>
    </row>
    <row r="805" customFormat="false" ht="16.5" hidden="false" customHeight="true" outlineLevel="0" collapsed="false">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162"/>
      <c r="Z805" s="162"/>
    </row>
    <row r="806" customFormat="false" ht="16.5" hidden="false" customHeight="true" outlineLevel="0" collapsed="false">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162"/>
      <c r="Z806" s="162"/>
    </row>
    <row r="807" customFormat="false" ht="16.5" hidden="false" customHeight="true" outlineLevel="0" collapsed="false">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162"/>
      <c r="Z807" s="162"/>
    </row>
    <row r="808" customFormat="false" ht="16.5" hidden="false" customHeight="true" outlineLevel="0" collapsed="false">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162"/>
      <c r="Z808" s="162"/>
    </row>
    <row r="809" customFormat="false" ht="16.5" hidden="false" customHeight="true" outlineLevel="0" collapsed="false">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162"/>
      <c r="Z809" s="162"/>
    </row>
    <row r="810" customFormat="false" ht="16.5" hidden="false" customHeight="true" outlineLevel="0" collapsed="false">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162"/>
      <c r="Z810" s="162"/>
    </row>
    <row r="811" customFormat="false" ht="16.5" hidden="false" customHeight="true" outlineLevel="0" collapsed="false">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162"/>
      <c r="Z811" s="162"/>
    </row>
    <row r="812" customFormat="false" ht="16.5" hidden="false" customHeight="true" outlineLevel="0" collapsed="false">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162"/>
      <c r="Z812" s="162"/>
    </row>
    <row r="813" customFormat="false" ht="16.5" hidden="false" customHeight="true" outlineLevel="0" collapsed="false">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162"/>
      <c r="Z813" s="162"/>
    </row>
    <row r="814" customFormat="false" ht="16.5" hidden="false" customHeight="true" outlineLevel="0" collapsed="false">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162"/>
      <c r="Z814" s="162"/>
    </row>
    <row r="815" customFormat="false" ht="16.5" hidden="false" customHeight="true" outlineLevel="0" collapsed="false">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162"/>
      <c r="Z815" s="162"/>
    </row>
    <row r="816" customFormat="false" ht="16.5" hidden="false" customHeight="true" outlineLevel="0" collapsed="false">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162"/>
      <c r="Z816" s="162"/>
    </row>
    <row r="817" customFormat="false" ht="16.5" hidden="false" customHeight="true" outlineLevel="0" collapsed="false">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162"/>
      <c r="Z817" s="162"/>
    </row>
    <row r="818" customFormat="false" ht="16.5" hidden="false" customHeight="true" outlineLevel="0" collapsed="false">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162"/>
      <c r="Z818" s="162"/>
    </row>
    <row r="819" customFormat="false" ht="16.5" hidden="false" customHeight="true" outlineLevel="0" collapsed="false">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162"/>
      <c r="Z819" s="162"/>
    </row>
    <row r="820" customFormat="false" ht="16.5" hidden="false" customHeight="true" outlineLevel="0" collapsed="false">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162"/>
      <c r="Z820" s="162"/>
    </row>
    <row r="821" customFormat="false" ht="16.5" hidden="false" customHeight="true" outlineLevel="0" collapsed="false">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162"/>
      <c r="Z821" s="162"/>
    </row>
    <row r="822" customFormat="false" ht="16.5" hidden="false" customHeight="true" outlineLevel="0" collapsed="false">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162"/>
      <c r="Z822" s="162"/>
    </row>
    <row r="823" customFormat="false" ht="16.5" hidden="false" customHeight="true" outlineLevel="0" collapsed="false">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162"/>
      <c r="Z823" s="162"/>
    </row>
    <row r="824" customFormat="false" ht="16.5" hidden="false" customHeight="true" outlineLevel="0" collapsed="false">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162"/>
      <c r="Z824" s="162"/>
    </row>
    <row r="825" customFormat="false" ht="16.5" hidden="false" customHeight="true" outlineLevel="0" collapsed="false">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162"/>
      <c r="Z825" s="162"/>
    </row>
    <row r="826" customFormat="false" ht="16.5" hidden="false" customHeight="true" outlineLevel="0" collapsed="false">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162"/>
      <c r="Z826" s="162"/>
    </row>
    <row r="827" customFormat="false" ht="16.5" hidden="false" customHeight="true" outlineLevel="0" collapsed="false">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162"/>
      <c r="Z827" s="162"/>
    </row>
    <row r="828" customFormat="false" ht="16.5" hidden="false" customHeight="true" outlineLevel="0" collapsed="false">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162"/>
      <c r="Z828" s="162"/>
    </row>
    <row r="829" customFormat="false" ht="16.5" hidden="false" customHeight="true" outlineLevel="0" collapsed="false">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162"/>
      <c r="Z829" s="162"/>
    </row>
    <row r="830" customFormat="false" ht="16.5" hidden="false" customHeight="true" outlineLevel="0" collapsed="false">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162"/>
      <c r="Z830" s="162"/>
    </row>
    <row r="831" customFormat="false" ht="16.5" hidden="false" customHeight="true" outlineLevel="0" collapsed="false">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162"/>
      <c r="Z831" s="162"/>
    </row>
    <row r="832" customFormat="false" ht="16.5" hidden="false" customHeight="true" outlineLevel="0" collapsed="false">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162"/>
      <c r="Z832" s="162"/>
    </row>
    <row r="833" customFormat="false" ht="16.5" hidden="false" customHeight="true" outlineLevel="0" collapsed="false">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162"/>
      <c r="Z833" s="162"/>
    </row>
    <row r="834" customFormat="false" ht="16.5" hidden="false" customHeight="true" outlineLevel="0" collapsed="false">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162"/>
      <c r="Z834" s="162"/>
    </row>
    <row r="835" customFormat="false" ht="16.5" hidden="false" customHeight="true" outlineLevel="0" collapsed="false">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162"/>
      <c r="Z835" s="162"/>
    </row>
    <row r="836" customFormat="false" ht="16.5" hidden="false" customHeight="true" outlineLevel="0" collapsed="false">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162"/>
      <c r="Z836" s="162"/>
    </row>
    <row r="837" customFormat="false" ht="16.5" hidden="false" customHeight="true" outlineLevel="0" collapsed="false">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162"/>
      <c r="Z837" s="162"/>
    </row>
    <row r="838" customFormat="false" ht="16.5" hidden="false" customHeight="true" outlineLevel="0" collapsed="false">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162"/>
      <c r="Z838" s="162"/>
    </row>
    <row r="839" customFormat="false" ht="16.5" hidden="false" customHeight="true" outlineLevel="0" collapsed="false">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162"/>
      <c r="Z839" s="162"/>
    </row>
    <row r="840" customFormat="false" ht="16.5" hidden="false" customHeight="true" outlineLevel="0" collapsed="false">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162"/>
      <c r="Z840" s="162"/>
    </row>
    <row r="841" customFormat="false" ht="16.5" hidden="false" customHeight="true" outlineLevel="0" collapsed="false">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162"/>
      <c r="Z841" s="162"/>
    </row>
    <row r="842" customFormat="false" ht="16.5" hidden="false" customHeight="true" outlineLevel="0" collapsed="false">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162"/>
      <c r="Z842" s="162"/>
    </row>
    <row r="843" customFormat="false" ht="16.5" hidden="false" customHeight="true" outlineLevel="0" collapsed="false">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162"/>
      <c r="Z843" s="162"/>
    </row>
    <row r="844" customFormat="false" ht="16.5" hidden="false" customHeight="true" outlineLevel="0" collapsed="false">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162"/>
      <c r="Z844" s="162"/>
    </row>
    <row r="845" customFormat="false" ht="16.5" hidden="false" customHeight="true" outlineLevel="0" collapsed="false">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162"/>
      <c r="Z845" s="162"/>
    </row>
    <row r="846" customFormat="false" ht="16.5" hidden="false" customHeight="true" outlineLevel="0" collapsed="false">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162"/>
      <c r="Z846" s="162"/>
    </row>
    <row r="847" customFormat="false" ht="16.5" hidden="false" customHeight="true" outlineLevel="0" collapsed="false">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162"/>
      <c r="Z847" s="162"/>
    </row>
    <row r="848" customFormat="false" ht="16.5" hidden="false" customHeight="true" outlineLevel="0" collapsed="false">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162"/>
      <c r="Z848" s="162"/>
    </row>
    <row r="849" customFormat="false" ht="16.5" hidden="false" customHeight="true" outlineLevel="0" collapsed="false">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162"/>
      <c r="Z849" s="162"/>
    </row>
    <row r="850" customFormat="false" ht="16.5" hidden="false" customHeight="true" outlineLevel="0" collapsed="false">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162"/>
      <c r="Z850" s="162"/>
    </row>
    <row r="851" customFormat="false" ht="16.5" hidden="false" customHeight="true" outlineLevel="0" collapsed="false">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162"/>
      <c r="Z851" s="162"/>
    </row>
    <row r="852" customFormat="false" ht="16.5" hidden="false" customHeight="true" outlineLevel="0" collapsed="false">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162"/>
      <c r="Z852" s="162"/>
    </row>
    <row r="853" customFormat="false" ht="16.5" hidden="false" customHeight="true" outlineLevel="0" collapsed="false">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162"/>
      <c r="Z853" s="162"/>
    </row>
    <row r="854" customFormat="false" ht="16.5" hidden="false" customHeight="true" outlineLevel="0" collapsed="false">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162"/>
      <c r="Z854" s="162"/>
    </row>
    <row r="855" customFormat="false" ht="16.5" hidden="false" customHeight="true" outlineLevel="0" collapsed="false">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162"/>
      <c r="Z855" s="162"/>
    </row>
    <row r="856" customFormat="false" ht="16.5" hidden="false" customHeight="true" outlineLevel="0" collapsed="false">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162"/>
      <c r="Z856" s="162"/>
    </row>
    <row r="857" customFormat="false" ht="16.5" hidden="false" customHeight="true" outlineLevel="0" collapsed="false">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162"/>
      <c r="Z857" s="162"/>
    </row>
    <row r="858" customFormat="false" ht="16.5" hidden="false" customHeight="true" outlineLevel="0" collapsed="false">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162"/>
      <c r="Z858" s="162"/>
    </row>
    <row r="859" customFormat="false" ht="16.5" hidden="false" customHeight="true" outlineLevel="0" collapsed="false">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162"/>
      <c r="Z859" s="162"/>
    </row>
    <row r="860" customFormat="false" ht="16.5" hidden="false" customHeight="true" outlineLevel="0" collapsed="false">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162"/>
      <c r="Z860" s="162"/>
    </row>
    <row r="861" customFormat="false" ht="16.5" hidden="false" customHeight="true" outlineLevel="0" collapsed="false">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162"/>
      <c r="Z861" s="162"/>
    </row>
    <row r="862" customFormat="false" ht="16.5" hidden="false" customHeight="true" outlineLevel="0" collapsed="false">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162"/>
      <c r="Z862" s="162"/>
    </row>
    <row r="863" customFormat="false" ht="16.5" hidden="false" customHeight="true" outlineLevel="0" collapsed="false">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162"/>
      <c r="Z863" s="162"/>
    </row>
    <row r="864" customFormat="false" ht="16.5" hidden="false" customHeight="true" outlineLevel="0" collapsed="false">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162"/>
      <c r="Z864" s="162"/>
    </row>
    <row r="865" customFormat="false" ht="16.5" hidden="false" customHeight="true" outlineLevel="0" collapsed="false">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162"/>
      <c r="Z865" s="162"/>
    </row>
    <row r="866" customFormat="false" ht="16.5" hidden="false" customHeight="true" outlineLevel="0" collapsed="false">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162"/>
      <c r="Z866" s="162"/>
    </row>
    <row r="867" customFormat="false" ht="16.5" hidden="false" customHeight="true" outlineLevel="0" collapsed="false">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162"/>
      <c r="Z867" s="162"/>
    </row>
    <row r="868" customFormat="false" ht="16.5" hidden="false" customHeight="true" outlineLevel="0" collapsed="false">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162"/>
      <c r="Z868" s="162"/>
    </row>
    <row r="869" customFormat="false" ht="16.5" hidden="false" customHeight="true" outlineLevel="0" collapsed="false">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162"/>
      <c r="Z869" s="162"/>
    </row>
    <row r="870" customFormat="false" ht="16.5" hidden="false" customHeight="true" outlineLevel="0" collapsed="false">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162"/>
      <c r="Z870" s="162"/>
    </row>
    <row r="871" customFormat="false" ht="16.5" hidden="false" customHeight="true" outlineLevel="0" collapsed="false">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162"/>
      <c r="Z871" s="162"/>
    </row>
    <row r="872" customFormat="false" ht="16.5" hidden="false" customHeight="true" outlineLevel="0" collapsed="false">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162"/>
      <c r="Z872" s="162"/>
    </row>
    <row r="873" customFormat="false" ht="16.5" hidden="false" customHeight="true" outlineLevel="0" collapsed="false">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162"/>
      <c r="Z873" s="162"/>
    </row>
    <row r="874" customFormat="false" ht="16.5" hidden="false" customHeight="true" outlineLevel="0" collapsed="false">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162"/>
      <c r="Z874" s="162"/>
    </row>
    <row r="875" customFormat="false" ht="16.5" hidden="false" customHeight="true" outlineLevel="0" collapsed="false">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162"/>
      <c r="Z875" s="162"/>
    </row>
    <row r="876" customFormat="false" ht="16.5" hidden="false" customHeight="true" outlineLevel="0" collapsed="false">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162"/>
      <c r="Z876" s="162"/>
    </row>
    <row r="877" customFormat="false" ht="16.5" hidden="false" customHeight="true" outlineLevel="0" collapsed="false">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162"/>
      <c r="Z877" s="162"/>
    </row>
    <row r="878" customFormat="false" ht="16.5" hidden="false" customHeight="true" outlineLevel="0" collapsed="false">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162"/>
      <c r="Z878" s="162"/>
    </row>
    <row r="879" customFormat="false" ht="16.5" hidden="false" customHeight="true" outlineLevel="0" collapsed="false">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162"/>
      <c r="Z879" s="162"/>
    </row>
    <row r="880" customFormat="false" ht="16.5" hidden="false" customHeight="true" outlineLevel="0" collapsed="false">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162"/>
      <c r="Z880" s="162"/>
    </row>
    <row r="881" customFormat="false" ht="16.5" hidden="false" customHeight="true" outlineLevel="0" collapsed="false">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162"/>
      <c r="Z881" s="162"/>
    </row>
    <row r="882" customFormat="false" ht="16.5" hidden="false" customHeight="true" outlineLevel="0" collapsed="false">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162"/>
      <c r="Z882" s="162"/>
    </row>
    <row r="883" customFormat="false" ht="16.5" hidden="false" customHeight="true" outlineLevel="0" collapsed="false">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162"/>
      <c r="Z883" s="162"/>
    </row>
    <row r="884" customFormat="false" ht="16.5" hidden="false" customHeight="true" outlineLevel="0" collapsed="false">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162"/>
      <c r="Z884" s="162"/>
    </row>
    <row r="885" customFormat="false" ht="16.5" hidden="false" customHeight="true" outlineLevel="0" collapsed="false">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162"/>
      <c r="Z885" s="162"/>
    </row>
    <row r="886" customFormat="false" ht="16.5" hidden="false" customHeight="true" outlineLevel="0" collapsed="false">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162"/>
      <c r="Z886" s="162"/>
    </row>
    <row r="887" customFormat="false" ht="16.5" hidden="false" customHeight="true" outlineLevel="0" collapsed="false">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162"/>
      <c r="Z887" s="162"/>
    </row>
    <row r="888" customFormat="false" ht="16.5" hidden="false" customHeight="true" outlineLevel="0" collapsed="false">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162"/>
      <c r="Z888" s="162"/>
    </row>
    <row r="889" customFormat="false" ht="16.5" hidden="false" customHeight="true" outlineLevel="0" collapsed="false">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162"/>
      <c r="Z889" s="162"/>
    </row>
    <row r="890" customFormat="false" ht="16.5" hidden="false" customHeight="true" outlineLevel="0" collapsed="false">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162"/>
      <c r="Z890" s="162"/>
    </row>
    <row r="891" customFormat="false" ht="16.5" hidden="false" customHeight="true" outlineLevel="0" collapsed="false">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162"/>
      <c r="Z891" s="162"/>
    </row>
    <row r="892" customFormat="false" ht="16.5" hidden="false" customHeight="true" outlineLevel="0" collapsed="false">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162"/>
      <c r="Z892" s="162"/>
    </row>
    <row r="893" customFormat="false" ht="16.5" hidden="false" customHeight="true" outlineLevel="0" collapsed="false">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162"/>
      <c r="Z893" s="162"/>
    </row>
    <row r="894" customFormat="false" ht="16.5" hidden="false" customHeight="true" outlineLevel="0" collapsed="false">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162"/>
      <c r="Z894" s="162"/>
    </row>
    <row r="895" customFormat="false" ht="16.5" hidden="false" customHeight="true" outlineLevel="0" collapsed="false">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162"/>
      <c r="Z895" s="162"/>
    </row>
    <row r="896" customFormat="false" ht="16.5" hidden="false" customHeight="true" outlineLevel="0" collapsed="false">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162"/>
      <c r="Z896" s="162"/>
    </row>
    <row r="897" customFormat="false" ht="16.5" hidden="false" customHeight="true" outlineLevel="0" collapsed="false">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162"/>
      <c r="Z897" s="162"/>
    </row>
    <row r="898" customFormat="false" ht="16.5" hidden="false" customHeight="true" outlineLevel="0" collapsed="false">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162"/>
      <c r="Z898" s="162"/>
    </row>
    <row r="899" customFormat="false" ht="16.5" hidden="false" customHeight="true" outlineLevel="0" collapsed="false">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162"/>
      <c r="Z899" s="162"/>
    </row>
    <row r="900" customFormat="false" ht="16.5" hidden="false" customHeight="true" outlineLevel="0" collapsed="false">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162"/>
      <c r="Z900" s="162"/>
    </row>
    <row r="901" customFormat="false" ht="16.5" hidden="false" customHeight="true" outlineLevel="0" collapsed="false">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162"/>
      <c r="Z901" s="162"/>
    </row>
    <row r="902" customFormat="false" ht="16.5" hidden="false" customHeight="true" outlineLevel="0" collapsed="false">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162"/>
      <c r="Z902" s="162"/>
    </row>
    <row r="903" customFormat="false" ht="16.5" hidden="false" customHeight="true" outlineLevel="0" collapsed="false">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162"/>
      <c r="Z903" s="162"/>
    </row>
    <row r="904" customFormat="false" ht="16.5" hidden="false" customHeight="true" outlineLevel="0" collapsed="false">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162"/>
      <c r="Z904" s="162"/>
    </row>
    <row r="905" customFormat="false" ht="16.5" hidden="false" customHeight="true" outlineLevel="0" collapsed="false">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162"/>
      <c r="Z905" s="162"/>
    </row>
    <row r="906" customFormat="false" ht="16.5" hidden="false" customHeight="true" outlineLevel="0" collapsed="false">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162"/>
      <c r="Z906" s="162"/>
    </row>
    <row r="907" customFormat="false" ht="16.5" hidden="false" customHeight="true" outlineLevel="0" collapsed="false">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162"/>
      <c r="Z907" s="162"/>
    </row>
    <row r="908" customFormat="false" ht="16.5" hidden="false" customHeight="true" outlineLevel="0" collapsed="false">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162"/>
      <c r="Z908" s="162"/>
    </row>
    <row r="909" customFormat="false" ht="16.5" hidden="false" customHeight="true" outlineLevel="0" collapsed="false">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162"/>
      <c r="Z909" s="162"/>
    </row>
    <row r="910" customFormat="false" ht="16.5" hidden="false" customHeight="true" outlineLevel="0" collapsed="false">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162"/>
      <c r="Z910" s="162"/>
    </row>
    <row r="911" customFormat="false" ht="16.5" hidden="false" customHeight="true" outlineLevel="0" collapsed="false">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162"/>
      <c r="Z911" s="162"/>
    </row>
    <row r="912" customFormat="false" ht="16.5" hidden="false" customHeight="true" outlineLevel="0" collapsed="false">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162"/>
      <c r="Z912" s="162"/>
    </row>
    <row r="913" customFormat="false" ht="16.5" hidden="false" customHeight="true" outlineLevel="0" collapsed="false">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162"/>
      <c r="Z913" s="162"/>
    </row>
    <row r="914" customFormat="false" ht="16.5" hidden="false" customHeight="true" outlineLevel="0" collapsed="false">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162"/>
      <c r="Z914" s="162"/>
    </row>
    <row r="915" customFormat="false" ht="16.5" hidden="false" customHeight="true" outlineLevel="0" collapsed="false">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162"/>
      <c r="Z915" s="162"/>
    </row>
    <row r="916" customFormat="false" ht="16.5" hidden="false" customHeight="true" outlineLevel="0" collapsed="false">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162"/>
      <c r="Z916" s="162"/>
    </row>
    <row r="917" customFormat="false" ht="16.5" hidden="false" customHeight="true" outlineLevel="0" collapsed="false">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162"/>
      <c r="Z917" s="162"/>
    </row>
    <row r="918" customFormat="false" ht="16.5" hidden="false" customHeight="true" outlineLevel="0" collapsed="false">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162"/>
      <c r="Z918" s="162"/>
    </row>
    <row r="919" customFormat="false" ht="16.5" hidden="false" customHeight="true" outlineLevel="0" collapsed="false">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162"/>
      <c r="Z919" s="162"/>
    </row>
    <row r="920" customFormat="false" ht="16.5" hidden="false" customHeight="true" outlineLevel="0" collapsed="false">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162"/>
      <c r="Z920" s="162"/>
    </row>
    <row r="921" customFormat="false" ht="16.5" hidden="false" customHeight="true" outlineLevel="0" collapsed="false">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162"/>
      <c r="Z921" s="162"/>
    </row>
    <row r="922" customFormat="false" ht="16.5" hidden="false" customHeight="true" outlineLevel="0" collapsed="false">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162"/>
      <c r="Z922" s="162"/>
    </row>
    <row r="923" customFormat="false" ht="16.5" hidden="false" customHeight="true" outlineLevel="0" collapsed="false">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162"/>
      <c r="Z923" s="162"/>
    </row>
    <row r="924" customFormat="false" ht="16.5" hidden="false" customHeight="true" outlineLevel="0" collapsed="false">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162"/>
      <c r="Z924" s="162"/>
    </row>
    <row r="925" customFormat="false" ht="16.5" hidden="false" customHeight="true" outlineLevel="0" collapsed="false">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162"/>
      <c r="Z925" s="162"/>
    </row>
    <row r="926" customFormat="false" ht="16.5" hidden="false" customHeight="true" outlineLevel="0" collapsed="false">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162"/>
      <c r="Z926" s="162"/>
    </row>
    <row r="927" customFormat="false" ht="16.5" hidden="false" customHeight="true" outlineLevel="0" collapsed="false">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162"/>
      <c r="Z927" s="162"/>
    </row>
    <row r="928" customFormat="false" ht="16.5" hidden="false" customHeight="true" outlineLevel="0" collapsed="false">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162"/>
      <c r="Z928" s="162"/>
    </row>
    <row r="929" customFormat="false" ht="16.5" hidden="false" customHeight="true" outlineLevel="0" collapsed="false">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162"/>
      <c r="Z929" s="162"/>
    </row>
    <row r="930" customFormat="false" ht="16.5" hidden="false" customHeight="true" outlineLevel="0" collapsed="false">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162"/>
      <c r="Z930" s="162"/>
    </row>
    <row r="931" customFormat="false" ht="16.5" hidden="false" customHeight="true" outlineLevel="0" collapsed="false">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162"/>
      <c r="Z931" s="162"/>
    </row>
    <row r="932" customFormat="false" ht="16.5" hidden="false" customHeight="true" outlineLevel="0" collapsed="false">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162"/>
      <c r="Z932" s="162"/>
    </row>
    <row r="933" customFormat="false" ht="16.5" hidden="false" customHeight="true" outlineLevel="0" collapsed="false">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162"/>
      <c r="Z933" s="162"/>
    </row>
    <row r="934" customFormat="false" ht="16.5" hidden="false" customHeight="true" outlineLevel="0" collapsed="false">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162"/>
      <c r="Z934" s="162"/>
    </row>
    <row r="935" customFormat="false" ht="16.5" hidden="false" customHeight="true" outlineLevel="0" collapsed="false">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162"/>
      <c r="Z935" s="162"/>
    </row>
    <row r="936" customFormat="false" ht="16.5" hidden="false" customHeight="true" outlineLevel="0" collapsed="false">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162"/>
      <c r="Z936" s="162"/>
    </row>
    <row r="937" customFormat="false" ht="16.5" hidden="false" customHeight="true" outlineLevel="0" collapsed="false">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162"/>
      <c r="Z937" s="162"/>
    </row>
    <row r="938" customFormat="false" ht="16.5" hidden="false" customHeight="true" outlineLevel="0" collapsed="false">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162"/>
      <c r="Z938" s="162"/>
    </row>
    <row r="939" customFormat="false" ht="16.5" hidden="false" customHeight="true" outlineLevel="0" collapsed="false">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162"/>
      <c r="Z939" s="162"/>
    </row>
    <row r="940" customFormat="false" ht="16.5" hidden="false" customHeight="true" outlineLevel="0" collapsed="false">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162"/>
      <c r="Z940" s="162"/>
    </row>
    <row r="941" customFormat="false" ht="16.5" hidden="false" customHeight="true" outlineLevel="0" collapsed="false">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162"/>
      <c r="Z941" s="162"/>
    </row>
    <row r="942" customFormat="false" ht="16.5" hidden="false" customHeight="true" outlineLevel="0" collapsed="false">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162"/>
      <c r="Z942" s="162"/>
    </row>
    <row r="943" customFormat="false" ht="16.5" hidden="false" customHeight="true" outlineLevel="0" collapsed="false">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162"/>
      <c r="Z943" s="162"/>
    </row>
    <row r="944" customFormat="false" ht="16.5" hidden="false" customHeight="true" outlineLevel="0" collapsed="false">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162"/>
      <c r="Z944" s="162"/>
    </row>
    <row r="945" customFormat="false" ht="16.5" hidden="false" customHeight="true" outlineLevel="0" collapsed="false">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162"/>
      <c r="Z945" s="162"/>
    </row>
    <row r="946" customFormat="false" ht="16.5" hidden="false" customHeight="true" outlineLevel="0" collapsed="false">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162"/>
      <c r="Z946" s="162"/>
    </row>
    <row r="947" customFormat="false" ht="16.5" hidden="false" customHeight="true" outlineLevel="0" collapsed="false">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162"/>
      <c r="Z947" s="162"/>
    </row>
    <row r="948" customFormat="false" ht="16.5" hidden="false" customHeight="true" outlineLevel="0" collapsed="false">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162"/>
      <c r="Z948" s="162"/>
    </row>
    <row r="949" customFormat="false" ht="16.5" hidden="false" customHeight="true" outlineLevel="0" collapsed="false">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162"/>
      <c r="Z949" s="162"/>
    </row>
    <row r="950" customFormat="false" ht="16.5" hidden="false" customHeight="true" outlineLevel="0" collapsed="false">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162"/>
      <c r="Z950" s="162"/>
    </row>
    <row r="951" customFormat="false" ht="16.5" hidden="false" customHeight="true" outlineLevel="0" collapsed="false">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162"/>
      <c r="Z951" s="162"/>
    </row>
    <row r="952" customFormat="false" ht="16.5" hidden="false" customHeight="true" outlineLevel="0" collapsed="false">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162"/>
      <c r="Z952" s="162"/>
    </row>
    <row r="953" customFormat="false" ht="16.5" hidden="false" customHeight="true" outlineLevel="0" collapsed="false">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162"/>
      <c r="Z953" s="162"/>
    </row>
    <row r="954" customFormat="false" ht="16.5" hidden="false" customHeight="true" outlineLevel="0" collapsed="false">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162"/>
      <c r="Z954" s="162"/>
    </row>
    <row r="955" customFormat="false" ht="16.5" hidden="false" customHeight="true" outlineLevel="0" collapsed="false">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162"/>
      <c r="Z955" s="162"/>
    </row>
    <row r="956" customFormat="false" ht="16.5" hidden="false" customHeight="true" outlineLevel="0" collapsed="false">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162"/>
      <c r="Z956" s="162"/>
    </row>
    <row r="957" customFormat="false" ht="16.5" hidden="false" customHeight="true" outlineLevel="0" collapsed="false">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162"/>
      <c r="Z957" s="162"/>
    </row>
    <row r="958" customFormat="false" ht="16.5" hidden="false" customHeight="true" outlineLevel="0" collapsed="false">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162"/>
      <c r="Z958" s="162"/>
    </row>
    <row r="959" customFormat="false" ht="16.5" hidden="false" customHeight="true" outlineLevel="0" collapsed="false">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162"/>
      <c r="Z959" s="162"/>
    </row>
    <row r="960" customFormat="false" ht="16.5" hidden="false" customHeight="true" outlineLevel="0" collapsed="false">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162"/>
      <c r="Z960" s="162"/>
    </row>
    <row r="961" customFormat="false" ht="16.5" hidden="false" customHeight="true" outlineLevel="0" collapsed="false">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162"/>
      <c r="Z961" s="162"/>
    </row>
    <row r="962" customFormat="false" ht="16.5" hidden="false" customHeight="true" outlineLevel="0" collapsed="false">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162"/>
      <c r="Z962" s="162"/>
    </row>
    <row r="963" customFormat="false" ht="16.5" hidden="false" customHeight="true" outlineLevel="0" collapsed="false">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162"/>
      <c r="Z963" s="162"/>
    </row>
    <row r="964" customFormat="false" ht="16.5" hidden="false" customHeight="true" outlineLevel="0" collapsed="false">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162"/>
      <c r="Z964" s="162"/>
    </row>
    <row r="965" customFormat="false" ht="16.5" hidden="false" customHeight="true" outlineLevel="0" collapsed="false">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162"/>
      <c r="Z965" s="162"/>
    </row>
    <row r="966" customFormat="false" ht="16.5" hidden="false" customHeight="true" outlineLevel="0" collapsed="false">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162"/>
      <c r="Z966" s="162"/>
    </row>
    <row r="967" customFormat="false" ht="16.5" hidden="false" customHeight="true" outlineLevel="0" collapsed="false">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162"/>
      <c r="Z967" s="162"/>
    </row>
    <row r="968" customFormat="false" ht="16.5" hidden="false" customHeight="true" outlineLevel="0" collapsed="false">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162"/>
      <c r="Z968" s="162"/>
    </row>
    <row r="969" customFormat="false" ht="16.5" hidden="false" customHeight="true" outlineLevel="0" collapsed="false">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162"/>
      <c r="Z969" s="162"/>
    </row>
    <row r="970" customFormat="false" ht="16.5" hidden="false" customHeight="true" outlineLevel="0" collapsed="false">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162"/>
      <c r="Z970" s="162"/>
    </row>
    <row r="971" customFormat="false" ht="16.5" hidden="false" customHeight="true" outlineLevel="0" collapsed="false">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162"/>
      <c r="Z971" s="162"/>
    </row>
    <row r="972" customFormat="false" ht="16.5" hidden="false" customHeight="true" outlineLevel="0" collapsed="false">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162"/>
      <c r="Z972" s="162"/>
    </row>
    <row r="973" customFormat="false" ht="16.5" hidden="false" customHeight="true" outlineLevel="0" collapsed="false">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162"/>
      <c r="Z973" s="162"/>
    </row>
    <row r="974" customFormat="false" ht="16.5" hidden="false" customHeight="true" outlineLevel="0" collapsed="false">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162"/>
      <c r="Z974" s="162"/>
    </row>
    <row r="975" customFormat="false" ht="16.5" hidden="false" customHeight="true" outlineLevel="0" collapsed="false">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162"/>
      <c r="Z975" s="162"/>
    </row>
    <row r="976" customFormat="false" ht="16.5" hidden="false" customHeight="true" outlineLevel="0" collapsed="false">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162"/>
      <c r="Z976" s="162"/>
    </row>
    <row r="977" customFormat="false" ht="16.5" hidden="false" customHeight="true" outlineLevel="0" collapsed="false">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162"/>
      <c r="Z977" s="162"/>
    </row>
    <row r="978" customFormat="false" ht="16.5" hidden="false" customHeight="true" outlineLevel="0" collapsed="false">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162"/>
      <c r="Z978" s="162"/>
    </row>
    <row r="979" customFormat="false" ht="16.5" hidden="false" customHeight="true" outlineLevel="0" collapsed="false">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162"/>
      <c r="Z979" s="162"/>
    </row>
    <row r="980" customFormat="false" ht="16.5" hidden="false" customHeight="true" outlineLevel="0" collapsed="false">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162"/>
      <c r="Z980" s="162"/>
    </row>
    <row r="981" customFormat="false" ht="16.5" hidden="false" customHeight="true" outlineLevel="0" collapsed="false">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162"/>
      <c r="Z981" s="162"/>
    </row>
    <row r="982" customFormat="false" ht="16.5" hidden="false" customHeight="true" outlineLevel="0" collapsed="false">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162"/>
      <c r="Z982" s="162"/>
    </row>
    <row r="983" customFormat="false" ht="16.5" hidden="false" customHeight="true" outlineLevel="0" collapsed="false">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162"/>
      <c r="Z983" s="162"/>
    </row>
    <row r="984" customFormat="false" ht="16.5" hidden="false" customHeight="true" outlineLevel="0" collapsed="false">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162"/>
      <c r="Z984" s="162"/>
    </row>
    <row r="985" customFormat="false" ht="16.5" hidden="false" customHeight="true" outlineLevel="0" collapsed="false">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162"/>
      <c r="Z985" s="162"/>
    </row>
    <row r="986" customFormat="false" ht="16.5" hidden="false" customHeight="true" outlineLevel="0" collapsed="false">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162"/>
      <c r="Z986" s="162"/>
    </row>
    <row r="987" customFormat="false" ht="16.5" hidden="false" customHeight="true" outlineLevel="0" collapsed="false">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162"/>
      <c r="Z987" s="162"/>
    </row>
    <row r="988" customFormat="false" ht="16.5" hidden="false" customHeight="true" outlineLevel="0" collapsed="false">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162"/>
      <c r="Z988" s="162"/>
    </row>
    <row r="989" customFormat="false" ht="16.5" hidden="false" customHeight="true" outlineLevel="0" collapsed="false">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162"/>
      <c r="Z989" s="162"/>
    </row>
    <row r="990" customFormat="false" ht="16.5" hidden="false" customHeight="true" outlineLevel="0" collapsed="false">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162"/>
      <c r="Z990" s="162"/>
    </row>
    <row r="991" customFormat="false" ht="16.5" hidden="false" customHeight="true" outlineLevel="0" collapsed="false">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162"/>
      <c r="Z991" s="162"/>
    </row>
    <row r="992" customFormat="false" ht="16.5" hidden="false" customHeight="true" outlineLevel="0" collapsed="false">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162"/>
      <c r="Z992" s="162"/>
    </row>
    <row r="993" customFormat="false" ht="16.5" hidden="false" customHeight="true" outlineLevel="0" collapsed="false">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162"/>
      <c r="Z993" s="162"/>
    </row>
    <row r="994" customFormat="false" ht="16.5" hidden="false" customHeight="true" outlineLevel="0" collapsed="false">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162"/>
      <c r="Z994" s="162"/>
    </row>
    <row r="995" customFormat="false" ht="16.5" hidden="false" customHeight="true" outlineLevel="0" collapsed="false">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162"/>
      <c r="Z995" s="162"/>
    </row>
    <row r="996" customFormat="false" ht="16.5" hidden="false" customHeight="true" outlineLevel="0" collapsed="false">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162"/>
      <c r="Z996" s="162"/>
    </row>
    <row r="997" customFormat="false" ht="16.5" hidden="false" customHeight="true" outlineLevel="0" collapsed="false">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162"/>
      <c r="Z997" s="162"/>
    </row>
    <row r="998" customFormat="false" ht="16.5" hidden="false" customHeight="true" outlineLevel="0" collapsed="false">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162"/>
      <c r="Z998" s="162"/>
    </row>
    <row r="999" customFormat="false" ht="16.5" hidden="false" customHeight="true" outlineLevel="0" collapsed="false">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162"/>
      <c r="Z999" s="162"/>
    </row>
    <row r="1000" customFormat="false" ht="16.5" hidden="false" customHeight="true" outlineLevel="0" collapsed="false">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162"/>
      <c r="Z1000" s="162"/>
    </row>
    <row r="1001" customFormat="false" ht="16.5" hidden="false" customHeight="true" outlineLevel="0" collapsed="false">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162"/>
      <c r="Z1001" s="162"/>
    </row>
  </sheetData>
  <mergeCells count="35">
    <mergeCell ref="A1:I1"/>
    <mergeCell ref="A2:I2"/>
    <mergeCell ref="A3:B4"/>
    <mergeCell ref="C3:I4"/>
    <mergeCell ref="A5:B6"/>
    <mergeCell ref="C5:I6"/>
    <mergeCell ref="B9:F9"/>
    <mergeCell ref="B10:C10"/>
    <mergeCell ref="B11:C11"/>
    <mergeCell ref="B12:C12"/>
    <mergeCell ref="B13:C13"/>
    <mergeCell ref="B14:C14"/>
    <mergeCell ref="A15:H15"/>
    <mergeCell ref="B18:F18"/>
    <mergeCell ref="B19:F19"/>
    <mergeCell ref="B20:F20"/>
    <mergeCell ref="B21:F21"/>
    <mergeCell ref="B22:F22"/>
    <mergeCell ref="B23:F23"/>
    <mergeCell ref="B24:F24"/>
    <mergeCell ref="B25:F25"/>
    <mergeCell ref="B26:F26"/>
    <mergeCell ref="B27:F27"/>
    <mergeCell ref="B28:F28"/>
    <mergeCell ref="B30:F30"/>
    <mergeCell ref="B31:F31"/>
    <mergeCell ref="B32:F32"/>
    <mergeCell ref="B33:F33"/>
    <mergeCell ref="B34:F34"/>
    <mergeCell ref="B35:F35"/>
    <mergeCell ref="B36:F36"/>
    <mergeCell ref="B37:F37"/>
    <mergeCell ref="B38:F38"/>
    <mergeCell ref="B39:F39"/>
    <mergeCell ref="A40:H40"/>
  </mergeCells>
  <printOptions headings="false" gridLines="false" gridLinesSet="true" horizontalCentered="false" verticalCentered="false"/>
  <pageMargins left="0.315277777777778" right="0.157638888888889" top="0.747916666666667"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2013-11-27T08:31:35Z</dcterms:created>
  <dc:creator>Administrator</dc:creator>
  <dc:description/>
  <dc:language>en-US</dc:language>
  <cp:lastModifiedBy/>
  <dcterms:modified xsi:type="dcterms:W3CDTF">2026-08-01T16:51:11Z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